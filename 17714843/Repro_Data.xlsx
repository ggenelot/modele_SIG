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3129207\Documents\Phd\final\multi clutch chapter\Reviewed\Final\"/>
    </mc:Choice>
  </mc:AlternateContent>
  <bookViews>
    <workbookView xWindow="0" yWindow="0" windowWidth="20490" windowHeight="7620" activeTab="1"/>
  </bookViews>
  <sheets>
    <sheet name="Sperm analysis" sheetId="1" r:id="rId1"/>
    <sheet name="Egg analy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0" i="2" l="1"/>
  <c r="AE20" i="2"/>
  <c r="AB20" i="2"/>
  <c r="Y20" i="2"/>
  <c r="T20" i="2"/>
  <c r="S20" i="2"/>
  <c r="C20" i="2"/>
  <c r="AE19" i="2"/>
  <c r="AB19" i="2"/>
  <c r="Y19" i="2"/>
  <c r="T19" i="2"/>
  <c r="S19" i="2"/>
  <c r="C19" i="2"/>
  <c r="AH18" i="2"/>
  <c r="AE18" i="2"/>
  <c r="AB18" i="2"/>
  <c r="Y18" i="2"/>
  <c r="T18" i="2"/>
  <c r="S18" i="2"/>
  <c r="C18" i="2"/>
  <c r="AH17" i="2"/>
  <c r="AE17" i="2"/>
  <c r="AB17" i="2"/>
  <c r="Y17" i="2"/>
  <c r="T17" i="2"/>
  <c r="S17" i="2"/>
  <c r="C17" i="2"/>
  <c r="AL16" i="2"/>
  <c r="T16" i="2"/>
  <c r="S16" i="2"/>
  <c r="AM16" i="2" s="1"/>
  <c r="C16" i="2"/>
  <c r="AM15" i="2"/>
  <c r="AL15" i="2"/>
  <c r="T15" i="2"/>
  <c r="S15" i="2"/>
  <c r="C15" i="2"/>
  <c r="AL14" i="2"/>
  <c r="AH14" i="2"/>
  <c r="AJ14" i="2" s="1"/>
  <c r="AE14" i="2"/>
  <c r="AB14" i="2"/>
  <c r="Y14" i="2"/>
  <c r="C14" i="2"/>
  <c r="AL13" i="2"/>
  <c r="AJ13" i="2"/>
  <c r="AH13" i="2"/>
  <c r="AE13" i="2"/>
  <c r="AB13" i="2"/>
  <c r="Y13" i="2"/>
  <c r="C13" i="2"/>
  <c r="AJ12" i="2"/>
  <c r="AH12" i="2"/>
  <c r="AE12" i="2"/>
  <c r="AB12" i="2"/>
  <c r="Y12" i="2"/>
  <c r="T12" i="2"/>
  <c r="AL12" i="2" s="1"/>
  <c r="S12" i="2"/>
  <c r="C12" i="2"/>
  <c r="AJ11" i="2"/>
  <c r="AH11" i="2"/>
  <c r="AE11" i="2"/>
  <c r="AB11" i="2"/>
  <c r="Y11" i="2"/>
  <c r="S11" i="2"/>
  <c r="C11" i="2"/>
  <c r="AH10" i="2"/>
  <c r="AJ10" i="2" s="1"/>
  <c r="AE10" i="2"/>
  <c r="AB10" i="2"/>
  <c r="Y10" i="2"/>
  <c r="S10" i="2"/>
  <c r="C10" i="2"/>
  <c r="AJ9" i="2"/>
  <c r="AH9" i="2"/>
  <c r="AE9" i="2"/>
  <c r="AB9" i="2"/>
  <c r="Y9" i="2"/>
  <c r="S9" i="2"/>
  <c r="C9" i="2"/>
  <c r="AL8" i="2"/>
  <c r="AM8" i="2" s="1"/>
  <c r="AJ8" i="2"/>
  <c r="AH8" i="2"/>
  <c r="AE8" i="2"/>
  <c r="AB8" i="2"/>
  <c r="Y8" i="2"/>
  <c r="S8" i="2"/>
  <c r="C8" i="2"/>
  <c r="AH7" i="2"/>
  <c r="AJ7" i="2" s="1"/>
  <c r="AE7" i="2"/>
  <c r="AB7" i="2"/>
  <c r="Y7" i="2"/>
  <c r="T7" i="2"/>
  <c r="S7" i="2"/>
  <c r="AL7" i="2" s="1"/>
  <c r="C7" i="2"/>
  <c r="AJ6" i="2"/>
  <c r="AH6" i="2"/>
  <c r="AE6" i="2"/>
  <c r="AB6" i="2"/>
  <c r="Y6" i="2"/>
  <c r="T6" i="2"/>
  <c r="AL6" i="2" s="1"/>
  <c r="S6" i="2"/>
  <c r="AM6" i="2" s="1"/>
  <c r="C6" i="2"/>
  <c r="AM5" i="2"/>
  <c r="AL5" i="2"/>
  <c r="AH5" i="2"/>
  <c r="AE5" i="2"/>
  <c r="AB5" i="2"/>
  <c r="Y5" i="2"/>
  <c r="T5" i="2"/>
  <c r="S5" i="2"/>
  <c r="C5" i="2"/>
  <c r="AH4" i="2"/>
  <c r="AJ4" i="2" s="1"/>
  <c r="AE4" i="2"/>
  <c r="AB4" i="2"/>
  <c r="Y4" i="2"/>
  <c r="T4" i="2"/>
  <c r="S4" i="2"/>
  <c r="C4" i="2"/>
  <c r="AL3" i="2"/>
  <c r="AJ3" i="2"/>
  <c r="AH3" i="2"/>
  <c r="AE3" i="2"/>
  <c r="AB3" i="2"/>
  <c r="Y3" i="2"/>
  <c r="T3" i="2"/>
  <c r="S3" i="2"/>
  <c r="AM3" i="2" s="1"/>
  <c r="C3" i="2"/>
  <c r="AH2" i="2"/>
  <c r="AJ2" i="2" s="1"/>
  <c r="AE2" i="2"/>
  <c r="AB2" i="2"/>
  <c r="Y2" i="2"/>
  <c r="T2" i="2"/>
  <c r="S2" i="2"/>
  <c r="C2" i="2"/>
  <c r="AL20" i="1"/>
  <c r="AI20" i="1"/>
  <c r="S20" i="1"/>
  <c r="T20" i="1" s="1"/>
  <c r="U20" i="1" s="1"/>
  <c r="N20" i="1"/>
  <c r="O20" i="1" s="1"/>
  <c r="K20" i="1"/>
  <c r="AL19" i="1"/>
  <c r="AI19" i="1"/>
  <c r="U19" i="1"/>
  <c r="S19" i="1"/>
  <c r="T19" i="1" s="1"/>
  <c r="O19" i="1"/>
  <c r="N19" i="1"/>
  <c r="K19" i="1"/>
  <c r="AL18" i="1"/>
  <c r="AI18" i="1"/>
  <c r="S18" i="1"/>
  <c r="T18" i="1" s="1"/>
  <c r="U18" i="1" s="1"/>
  <c r="N18" i="1"/>
  <c r="O18" i="1" s="1"/>
  <c r="K18" i="1"/>
  <c r="AL17" i="1"/>
  <c r="AI17" i="1"/>
  <c r="AE17" i="1"/>
  <c r="AC17" i="1"/>
  <c r="AD17" i="1" s="1"/>
  <c r="Y17" i="1"/>
  <c r="X17" i="1"/>
  <c r="S17" i="1"/>
  <c r="T17" i="1" s="1"/>
  <c r="U17" i="1" s="1"/>
  <c r="N17" i="1"/>
  <c r="O17" i="1" s="1"/>
  <c r="K17" i="1"/>
  <c r="AL16" i="1"/>
  <c r="AI16" i="1"/>
  <c r="S16" i="1"/>
  <c r="T16" i="1" s="1"/>
  <c r="U16" i="1" s="1"/>
  <c r="O16" i="1"/>
  <c r="N16" i="1"/>
  <c r="K16" i="1"/>
  <c r="AL15" i="1"/>
  <c r="AI15" i="1"/>
  <c r="S15" i="1"/>
  <c r="T15" i="1" s="1"/>
  <c r="U15" i="1" s="1"/>
  <c r="N15" i="1"/>
  <c r="O15" i="1" s="1"/>
  <c r="K15" i="1"/>
  <c r="AL14" i="1"/>
  <c r="AI14" i="1"/>
  <c r="S14" i="1"/>
  <c r="T14" i="1" s="1"/>
  <c r="U14" i="1" s="1"/>
  <c r="O14" i="1"/>
  <c r="N14" i="1"/>
  <c r="K14" i="1"/>
  <c r="AL13" i="1"/>
  <c r="AI13" i="1"/>
  <c r="S13" i="1"/>
  <c r="T13" i="1" s="1"/>
  <c r="U13" i="1" s="1"/>
  <c r="N13" i="1"/>
  <c r="O13" i="1" s="1"/>
  <c r="K13" i="1"/>
  <c r="AL12" i="1"/>
  <c r="AI12" i="1"/>
  <c r="S12" i="1"/>
  <c r="T12" i="1" s="1"/>
  <c r="U12" i="1" s="1"/>
  <c r="O12" i="1"/>
  <c r="N12" i="1"/>
  <c r="K12" i="1"/>
  <c r="AL11" i="1"/>
  <c r="AI11" i="1"/>
  <c r="S11" i="1"/>
  <c r="T11" i="1" s="1"/>
  <c r="U11" i="1" s="1"/>
  <c r="N11" i="1"/>
  <c r="O11" i="1" s="1"/>
  <c r="K11" i="1"/>
  <c r="AL10" i="1"/>
  <c r="AI10" i="1"/>
  <c r="AC10" i="1"/>
  <c r="AD10" i="1" s="1"/>
  <c r="AE10" i="1" s="1"/>
  <c r="Y10" i="1"/>
  <c r="X10" i="1"/>
  <c r="S10" i="1"/>
  <c r="T10" i="1" s="1"/>
  <c r="N10" i="1"/>
  <c r="O10" i="1" s="1"/>
  <c r="K10" i="1"/>
  <c r="AL9" i="1"/>
  <c r="AI9" i="1"/>
  <c r="AC9" i="1"/>
  <c r="AD9" i="1" s="1"/>
  <c r="AE9" i="1" s="1"/>
  <c r="Y9" i="1"/>
  <c r="X9" i="1"/>
  <c r="S9" i="1"/>
  <c r="T9" i="1" s="1"/>
  <c r="N9" i="1"/>
  <c r="O9" i="1" s="1"/>
  <c r="K9" i="1"/>
  <c r="AL8" i="1"/>
  <c r="AI8" i="1"/>
  <c r="AC8" i="1"/>
  <c r="AD8" i="1" s="1"/>
  <c r="AE8" i="1" s="1"/>
  <c r="Y8" i="1"/>
  <c r="X8" i="1"/>
  <c r="S8" i="1"/>
  <c r="T8" i="1" s="1"/>
  <c r="U8" i="1" s="1"/>
  <c r="N8" i="1"/>
  <c r="O8" i="1" s="1"/>
  <c r="K8" i="1"/>
  <c r="AL7" i="1"/>
  <c r="AI7" i="1"/>
  <c r="U7" i="1"/>
  <c r="S7" i="1"/>
  <c r="T7" i="1" s="1"/>
  <c r="O7" i="1"/>
  <c r="N7" i="1"/>
  <c r="K7" i="1"/>
  <c r="AL6" i="1"/>
  <c r="AI6" i="1"/>
  <c r="AC6" i="1"/>
  <c r="AD6" i="1" s="1"/>
  <c r="AE6" i="1" s="1"/>
  <c r="X6" i="1"/>
  <c r="Y6" i="1" s="1"/>
  <c r="Z6" i="1" s="1"/>
  <c r="S6" i="1"/>
  <c r="T6" i="1" s="1"/>
  <c r="U6" i="1" s="1"/>
  <c r="O6" i="1"/>
  <c r="N6" i="1"/>
  <c r="K6" i="1"/>
  <c r="AL5" i="1"/>
  <c r="AI5" i="1"/>
  <c r="T5" i="1"/>
  <c r="U5" i="1" s="1"/>
  <c r="S5" i="1"/>
  <c r="N5" i="1"/>
  <c r="O5" i="1" s="1"/>
  <c r="K5" i="1"/>
  <c r="AL4" i="1"/>
  <c r="AI4" i="1"/>
  <c r="S4" i="1"/>
  <c r="T4" i="1" s="1"/>
  <c r="U4" i="1" s="1"/>
  <c r="O4" i="1"/>
  <c r="P4" i="1" s="1"/>
  <c r="N4" i="1"/>
  <c r="K4" i="1"/>
  <c r="AL3" i="1"/>
  <c r="AI3" i="1"/>
  <c r="S3" i="1"/>
  <c r="T3" i="1" s="1"/>
  <c r="U3" i="1" s="1"/>
  <c r="N3" i="1"/>
  <c r="O3" i="1" s="1"/>
  <c r="K3" i="1"/>
  <c r="AL2" i="1"/>
  <c r="AI2" i="1"/>
  <c r="S2" i="1"/>
  <c r="T2" i="1" s="1"/>
  <c r="U2" i="1" s="1"/>
  <c r="P2" i="1"/>
  <c r="O2" i="1"/>
  <c r="AF2" i="1" s="1"/>
  <c r="N2" i="1"/>
  <c r="K2" i="1"/>
  <c r="AM18" i="2" l="1"/>
  <c r="AM7" i="2"/>
  <c r="AL9" i="2"/>
  <c r="AM9" i="2" s="1"/>
  <c r="AL17" i="2"/>
  <c r="AM17" i="2" s="1"/>
  <c r="AL2" i="2"/>
  <c r="AM2" i="2" s="1"/>
  <c r="AL4" i="2"/>
  <c r="AM4" i="2" s="1"/>
  <c r="AL18" i="2"/>
  <c r="AL19" i="2"/>
  <c r="AM19" i="2" s="1"/>
  <c r="AL20" i="2"/>
  <c r="AM20" i="2" s="1"/>
  <c r="AF4" i="1"/>
  <c r="AF7" i="1"/>
  <c r="P7" i="1"/>
  <c r="P10" i="1"/>
  <c r="AF10" i="1"/>
  <c r="Z17" i="1"/>
  <c r="AF19" i="1"/>
  <c r="P19" i="1"/>
  <c r="P8" i="1"/>
  <c r="AF8" i="1"/>
  <c r="Z9" i="1"/>
  <c r="AF18" i="1"/>
  <c r="P18" i="1"/>
  <c r="AF20" i="1"/>
  <c r="P20" i="1"/>
  <c r="AF6" i="1"/>
  <c r="P6" i="1"/>
  <c r="P9" i="1"/>
  <c r="AF9" i="1"/>
  <c r="Z10" i="1"/>
  <c r="AF12" i="1"/>
  <c r="P12" i="1"/>
  <c r="AF14" i="1"/>
  <c r="P14" i="1"/>
  <c r="AF16" i="1"/>
  <c r="P16" i="1"/>
  <c r="AF5" i="1"/>
  <c r="P5" i="1"/>
  <c r="U9" i="1"/>
  <c r="AF3" i="1"/>
  <c r="P3" i="1"/>
  <c r="Z8" i="1"/>
  <c r="U10" i="1"/>
  <c r="AF11" i="1"/>
  <c r="P11" i="1"/>
  <c r="AF13" i="1"/>
  <c r="P13" i="1"/>
  <c r="AF15" i="1"/>
  <c r="P15" i="1"/>
  <c r="P17" i="1"/>
  <c r="AF17" i="1"/>
</calcChain>
</file>

<file path=xl/sharedStrings.xml><?xml version="1.0" encoding="utf-8"?>
<sst xmlns="http://schemas.openxmlformats.org/spreadsheetml/2006/main" count="349" uniqueCount="144">
  <si>
    <t xml:space="preserve">Animal collected from field </t>
  </si>
  <si>
    <t>Genitals analysed</t>
  </si>
  <si>
    <t>Frog name</t>
  </si>
  <si>
    <t>Treatment group</t>
  </si>
  <si>
    <t>Sex</t>
  </si>
  <si>
    <t>Pond</t>
  </si>
  <si>
    <t>SVL (mm)</t>
  </si>
  <si>
    <t>RT (mm)</t>
  </si>
  <si>
    <t>Teste no. 1 weight (g)</t>
  </si>
  <si>
    <t>Teste no. 2 weight (g)</t>
  </si>
  <si>
    <t>Total testes weight (g)</t>
  </si>
  <si>
    <t xml:space="preserve">Sperm count count (no.1) </t>
  </si>
  <si>
    <t>Squares counted (count 1)</t>
  </si>
  <si>
    <t>Cells/ml for testes in 300ul ringer (count 1)</t>
  </si>
  <si>
    <t>Sperm (total) (count 1)</t>
  </si>
  <si>
    <t>sperm/g testes (count 1)</t>
  </si>
  <si>
    <t>Sperm count (no.2)</t>
  </si>
  <si>
    <t>Squares counted (count 2)</t>
  </si>
  <si>
    <t>Cells/ml (count 2)</t>
  </si>
  <si>
    <t>sperm (total) (count 2)</t>
  </si>
  <si>
    <t>sperm/g testes (count 2)</t>
  </si>
  <si>
    <t>sperm count  (no. 3)</t>
  </si>
  <si>
    <t>Squares counted (count 3)</t>
  </si>
  <si>
    <t>Cells/ml (count 3)</t>
  </si>
  <si>
    <t>sperm (total) (count 3)</t>
  </si>
  <si>
    <t>sperm/g testes (count 3)</t>
  </si>
  <si>
    <t>sperm count  (no. 4)</t>
  </si>
  <si>
    <t>Squares counted (count 4)</t>
  </si>
  <si>
    <t>Cells/ml (count 4)</t>
  </si>
  <si>
    <t>sperm (total) (count 4)</t>
  </si>
  <si>
    <t>sperm/g testes (count 4)</t>
  </si>
  <si>
    <t>Sperm count average</t>
  </si>
  <si>
    <t>Alive</t>
  </si>
  <si>
    <t>Dead</t>
  </si>
  <si>
    <t>Vit (%)</t>
  </si>
  <si>
    <t>Yes</t>
  </si>
  <si>
    <t>No</t>
  </si>
  <si>
    <t>Motile (%)</t>
  </si>
  <si>
    <t>Body mass (g) after test removal</t>
  </si>
  <si>
    <t>Body mass (g) total</t>
  </si>
  <si>
    <t>comments</t>
  </si>
  <si>
    <t>Solo male 1</t>
  </si>
  <si>
    <t>single</t>
  </si>
  <si>
    <t>male</t>
  </si>
  <si>
    <t>-</t>
  </si>
  <si>
    <t>Solo male 2</t>
  </si>
  <si>
    <t>new</t>
  </si>
  <si>
    <t>45</t>
  </si>
  <si>
    <t>Solo male 3</t>
  </si>
  <si>
    <t>42</t>
  </si>
  <si>
    <t>Solo male 4</t>
  </si>
  <si>
    <t>40</t>
  </si>
  <si>
    <t>Solo male 5</t>
  </si>
  <si>
    <t>71</t>
  </si>
  <si>
    <t>Solo male 6</t>
  </si>
  <si>
    <t>69</t>
  </si>
  <si>
    <t>Solo male A</t>
  </si>
  <si>
    <t>Solo male B</t>
  </si>
  <si>
    <t>Solo male C</t>
  </si>
  <si>
    <t>AMP male 1</t>
  </si>
  <si>
    <t>amp</t>
  </si>
  <si>
    <t>NPC</t>
  </si>
  <si>
    <t>51</t>
  </si>
  <si>
    <t>AMP male 2</t>
  </si>
  <si>
    <t>AMP male 3</t>
  </si>
  <si>
    <t>AMP male 4</t>
  </si>
  <si>
    <t>103</t>
  </si>
  <si>
    <t>amp pair possibly laid just prior to collection (didn’t spawn in lab)</t>
  </si>
  <si>
    <t>AMP male 5</t>
  </si>
  <si>
    <t>57</t>
  </si>
  <si>
    <t>AMP male 6</t>
  </si>
  <si>
    <t>41</t>
  </si>
  <si>
    <t>AMP male A</t>
  </si>
  <si>
    <t>AMP male B</t>
  </si>
  <si>
    <t>76</t>
  </si>
  <si>
    <t>AMP male C</t>
  </si>
  <si>
    <t>83</t>
  </si>
  <si>
    <t>AMP male D</t>
  </si>
  <si>
    <t>81</t>
  </si>
  <si>
    <t>Datediff</t>
  </si>
  <si>
    <t>Frog Name</t>
  </si>
  <si>
    <t>Treatment group name</t>
  </si>
  <si>
    <t>AMP natural?</t>
  </si>
  <si>
    <t>Gravid</t>
  </si>
  <si>
    <t xml:space="preserve">Eggs laid </t>
  </si>
  <si>
    <t>Date eggs laid</t>
  </si>
  <si>
    <t>Right duct (g)</t>
  </si>
  <si>
    <t>Right ova (g)</t>
  </si>
  <si>
    <t>Left duct (g)</t>
  </si>
  <si>
    <t>Left ova (g)</t>
  </si>
  <si>
    <t>Total ova weight (g)</t>
  </si>
  <si>
    <t>Total duct weight (g)</t>
  </si>
  <si>
    <t>egg count method</t>
  </si>
  <si>
    <t>No eggs stage II (right ovary)</t>
  </si>
  <si>
    <t>No eggs stage II (left ovary)</t>
  </si>
  <si>
    <t>No eggs stage II (total)</t>
  </si>
  <si>
    <t>No eggs stage III (right ovary)</t>
  </si>
  <si>
    <t>No eggs stage III (left ovary)</t>
  </si>
  <si>
    <t>No eggs stage III (total</t>
  </si>
  <si>
    <t>No eggs stage IV (right ovary)</t>
  </si>
  <si>
    <t>No eggs stage IV (left ovary)</t>
  </si>
  <si>
    <t>No eggs stage IV (total)</t>
  </si>
  <si>
    <t>No eggs stage V (right ovary)</t>
  </si>
  <si>
    <t>No eggs stage V (left ovary)</t>
  </si>
  <si>
    <t>No eggs stage V (total)</t>
  </si>
  <si>
    <t>No eggs laid (Total)</t>
  </si>
  <si>
    <t>ratio(eggs stage V/eggs laid)</t>
  </si>
  <si>
    <t>Body mass (g) (after ovary removal)</t>
  </si>
  <si>
    <t>Body mass (total)</t>
  </si>
  <si>
    <t>ROM</t>
  </si>
  <si>
    <t>AMP female 1</t>
  </si>
  <si>
    <t>female</t>
  </si>
  <si>
    <t>yes</t>
  </si>
  <si>
    <t>full count</t>
  </si>
  <si>
    <t>AMP female 2</t>
  </si>
  <si>
    <t>AMP female 3</t>
  </si>
  <si>
    <t>AMP female 4</t>
  </si>
  <si>
    <t>no</t>
  </si>
  <si>
    <t>AMP female 5</t>
  </si>
  <si>
    <t>artifical put together</t>
  </si>
  <si>
    <t>AMP female 6</t>
  </si>
  <si>
    <t>AMP female A</t>
  </si>
  <si>
    <t>AMP female C</t>
  </si>
  <si>
    <t>female was solo, then art placed with male in lab, female laid one fertile clutch and a sec clutch on land that was non fert</t>
  </si>
  <si>
    <t>laid additional unfert clutch (110 eggs of the 353)</t>
  </si>
  <si>
    <t>N1 female old</t>
  </si>
  <si>
    <t>old</t>
  </si>
  <si>
    <t>first lay</t>
  </si>
  <si>
    <t>put in formso no weights taken, collected in dec in amp and laid, had mature eggs again in feb suggesting within season generation</t>
  </si>
  <si>
    <t>N2 old female</t>
  </si>
  <si>
    <t>died 1/1/18, put in form so no weights taken, collected in dec in amp and laid,  had mature eggs again in feb</t>
  </si>
  <si>
    <t>Old female 1</t>
  </si>
  <si>
    <t>AMP female B</t>
  </si>
  <si>
    <t>AMP female D</t>
  </si>
  <si>
    <t>Gravid female 1</t>
  </si>
  <si>
    <t>Gravid female 2</t>
  </si>
  <si>
    <t>Gravid female 3</t>
  </si>
  <si>
    <t>Gravid female 4</t>
  </si>
  <si>
    <t>Gravid female 5</t>
  </si>
  <si>
    <t>(271 dropped)</t>
  </si>
  <si>
    <t>dropped eggs (included in stage V egg count)</t>
  </si>
  <si>
    <t>Solo female 8</t>
  </si>
  <si>
    <t>artifical put together (but did not amp)</t>
  </si>
  <si>
    <t>was placed in tank with solo male 7 but no spawning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</si>
</sst>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0" applyFont="1" applyFill="1" applyAlignment="1">
      <alignment horizontal="right"/>
    </xf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/>
    <xf numFmtId="14" fontId="0" fillId="0" borderId="0" xfId="0" applyNumberFormat="1" applyFill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1" xfId="0" applyFill="1" applyBorder="1"/>
    <xf numFmtId="49" fontId="0" fillId="0" borderId="1" xfId="0" applyNumberFormat="1" applyFill="1" applyBorder="1" applyAlignment="1">
      <alignment horizontal="right"/>
    </xf>
    <xf numFmtId="0" fontId="0" fillId="0" borderId="0" xfId="0" applyFill="1" applyBorder="1"/>
    <xf numFmtId="0" fontId="0" fillId="3" borderId="0" xfId="0" applyFill="1"/>
    <xf numFmtId="14" fontId="0" fillId="0" borderId="0" xfId="0" applyNumberFormat="1" applyFont="1" applyFill="1"/>
    <xf numFmtId="0" fontId="0" fillId="0" borderId="1" xfId="0" applyNumberFormat="1" applyFill="1" applyBorder="1" applyAlignment="1">
      <alignment horizontal="right"/>
    </xf>
    <xf numFmtId="0" fontId="0" fillId="0" borderId="0" xfId="0" applyNumberFormat="1" applyFill="1"/>
    <xf numFmtId="0" fontId="0" fillId="4" borderId="0" xfId="0" applyFill="1"/>
    <xf numFmtId="49" fontId="0" fillId="0" borderId="0" xfId="0" applyNumberFormat="1" applyFill="1" applyBorder="1" applyAlignment="1">
      <alignment horizontal="right"/>
    </xf>
    <xf numFmtId="0" fontId="0" fillId="0" borderId="0" xfId="0" applyFont="1" applyFill="1"/>
    <xf numFmtId="0" fontId="0" fillId="0" borderId="1" xfId="0" applyNumberFormat="1" applyFill="1" applyBorder="1"/>
    <xf numFmtId="0" fontId="0" fillId="0" borderId="0" xfId="0" applyNumberFormat="1" applyFont="1" applyFill="1"/>
    <xf numFmtId="0" fontId="0" fillId="0" borderId="0" xfId="0" applyFont="1" applyFill="1" applyAlignment="1">
      <alignment horizontal="right"/>
    </xf>
    <xf numFmtId="0" fontId="0" fillId="0" borderId="1" xfId="0" applyFont="1" applyFill="1" applyBorder="1"/>
    <xf numFmtId="0" fontId="0" fillId="0" borderId="0" xfId="0" applyFont="1" applyFill="1" applyBorder="1"/>
    <xf numFmtId="14" fontId="0" fillId="5" borderId="0" xfId="0" applyNumberFormat="1" applyFont="1" applyFill="1"/>
    <xf numFmtId="0" fontId="0" fillId="5" borderId="0" xfId="0" applyNumberFormat="1" applyFont="1" applyFill="1"/>
    <xf numFmtId="0" fontId="0" fillId="5" borderId="0" xfId="0" applyFont="1" applyFill="1"/>
    <xf numFmtId="0" fontId="0" fillId="5" borderId="0" xfId="0" applyFont="1" applyFill="1" applyAlignment="1">
      <alignment horizontal="right"/>
    </xf>
    <xf numFmtId="0" fontId="0" fillId="5" borderId="1" xfId="0" applyFont="1" applyFill="1" applyBorder="1"/>
    <xf numFmtId="0" fontId="0" fillId="5" borderId="0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0"/>
  <sheetViews>
    <sheetView topLeftCell="AE1" workbookViewId="0">
      <selection activeCell="AN1" sqref="AN1"/>
    </sheetView>
  </sheetViews>
  <sheetFormatPr defaultRowHeight="15" x14ac:dyDescent="0.25"/>
  <cols>
    <col min="1" max="1" width="23.85546875" bestFit="1" customWidth="1"/>
    <col min="2" max="2" width="21.140625" bestFit="1" customWidth="1"/>
    <col min="3" max="3" width="11.7109375" bestFit="1" customWidth="1"/>
    <col min="4" max="4" width="23.5703125" bestFit="1" customWidth="1"/>
    <col min="5" max="5" width="5.42578125" bestFit="1" customWidth="1"/>
    <col min="6" max="6" width="5.5703125" bestFit="1" customWidth="1"/>
    <col min="7" max="7" width="9.42578125" bestFit="1" customWidth="1"/>
    <col min="8" max="8" width="8.42578125" bestFit="1" customWidth="1"/>
    <col min="9" max="10" width="16" bestFit="1" customWidth="1"/>
    <col min="11" max="11" width="8.28515625" bestFit="1" customWidth="1"/>
    <col min="12" max="12" width="12.42578125" bestFit="1" customWidth="1"/>
    <col min="13" max="13" width="20.5703125" bestFit="1" customWidth="1"/>
    <col min="14" max="14" width="39.5703125" bestFit="1" customWidth="1"/>
    <col min="15" max="15" width="21.42578125" bestFit="1" customWidth="1"/>
    <col min="16" max="16" width="23" bestFit="1" customWidth="1"/>
    <col min="17" max="17" width="12" bestFit="1" customWidth="1"/>
    <col min="18" max="18" width="20.5703125" bestFit="1" customWidth="1"/>
    <col min="19" max="19" width="16.85546875" bestFit="1" customWidth="1"/>
    <col min="20" max="20" width="21.140625" bestFit="1" customWidth="1"/>
    <col min="21" max="21" width="23" bestFit="1" customWidth="1"/>
    <col min="22" max="32" width="23" customWidth="1"/>
    <col min="33" max="34" width="5.5703125" bestFit="1" customWidth="1"/>
    <col min="35" max="35" width="12" bestFit="1" customWidth="1"/>
    <col min="36" max="36" width="4.140625" bestFit="1" customWidth="1"/>
    <col min="37" max="37" width="4" bestFit="1" customWidth="1"/>
    <col min="38" max="38" width="12" bestFit="1" customWidth="1"/>
    <col min="39" max="40" width="7" bestFit="1" customWidth="1"/>
    <col min="41" max="41" width="110.42578125" bestFit="1" customWidth="1"/>
  </cols>
  <sheetData>
    <row r="1" spans="1:107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1" t="s">
        <v>34</v>
      </c>
      <c r="AJ1" s="4" t="s">
        <v>35</v>
      </c>
      <c r="AK1" s="1" t="s">
        <v>36</v>
      </c>
      <c r="AL1" s="1" t="s">
        <v>37</v>
      </c>
      <c r="AM1" s="4" t="s">
        <v>38</v>
      </c>
      <c r="AN1" s="6" t="s">
        <v>39</v>
      </c>
      <c r="AO1" s="1" t="s">
        <v>40</v>
      </c>
      <c r="AQ1" s="1"/>
      <c r="AR1" s="1"/>
      <c r="AS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107" s="14" customFormat="1" x14ac:dyDescent="0.25">
      <c r="A2" s="7">
        <v>43152</v>
      </c>
      <c r="B2" s="7">
        <v>43153</v>
      </c>
      <c r="C2" s="8" t="s">
        <v>41</v>
      </c>
      <c r="D2" s="9" t="s">
        <v>42</v>
      </c>
      <c r="E2" s="9" t="s">
        <v>43</v>
      </c>
      <c r="F2" s="10" t="s">
        <v>44</v>
      </c>
      <c r="G2" s="9">
        <v>46.9</v>
      </c>
      <c r="H2" s="9">
        <v>28.9</v>
      </c>
      <c r="I2" s="11">
        <v>4.0000000000000001E-3</v>
      </c>
      <c r="J2" s="9">
        <v>1E-3</v>
      </c>
      <c r="K2" s="9">
        <f t="shared" ref="K2:K20" si="0">SUM(I2,J2)</f>
        <v>5.0000000000000001E-3</v>
      </c>
      <c r="L2" s="12">
        <v>1</v>
      </c>
      <c r="M2" s="13">
        <v>25</v>
      </c>
      <c r="N2" s="13">
        <f>(L2/M2)*5*20*50000</f>
        <v>200000</v>
      </c>
      <c r="O2" s="13">
        <f t="shared" ref="O2:O20" si="1">N2*0.3</f>
        <v>60000</v>
      </c>
      <c r="P2" s="13">
        <f t="shared" ref="P2:P20" si="2">O2/K2</f>
        <v>12000000</v>
      </c>
      <c r="Q2" s="13">
        <v>2</v>
      </c>
      <c r="R2" s="13">
        <v>25</v>
      </c>
      <c r="S2" s="13">
        <f t="shared" ref="S2:S20" si="3">(Q2/R2)*5*50000*20</f>
        <v>400000</v>
      </c>
      <c r="T2" s="13">
        <f t="shared" ref="T2:T20" si="4">S2*0.3</f>
        <v>120000</v>
      </c>
      <c r="U2" s="13">
        <f t="shared" ref="U2:U20" si="5">T2/K2</f>
        <v>24000000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f>AVERAGE(O2,T2,Y2,AD2)</f>
        <v>90000</v>
      </c>
      <c r="AG2" s="11">
        <v>53</v>
      </c>
      <c r="AH2" s="13">
        <v>17</v>
      </c>
      <c r="AI2" s="9">
        <f t="shared" ref="AI2:AI20" si="6">((AG2)/(AG2+AH2))*100</f>
        <v>75.714285714285708</v>
      </c>
      <c r="AJ2" s="11">
        <v>1</v>
      </c>
      <c r="AK2" s="13">
        <v>19</v>
      </c>
      <c r="AL2" s="9">
        <f t="shared" ref="AL2:AL20" si="7">(AJ2/(AJ2+AK2))*100</f>
        <v>5</v>
      </c>
      <c r="AM2" s="11">
        <v>10.813000000000001</v>
      </c>
      <c r="AN2" s="13">
        <v>10.818</v>
      </c>
      <c r="AO2" s="9"/>
      <c r="AQ2" s="9"/>
      <c r="AR2" s="9"/>
      <c r="AS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</row>
    <row r="3" spans="1:107" s="14" customFormat="1" x14ac:dyDescent="0.25">
      <c r="A3" s="7">
        <v>43157</v>
      </c>
      <c r="B3" s="7">
        <v>43159</v>
      </c>
      <c r="C3" s="8" t="s">
        <v>45</v>
      </c>
      <c r="D3" s="9" t="s">
        <v>42</v>
      </c>
      <c r="E3" s="9" t="s">
        <v>43</v>
      </c>
      <c r="F3" s="10" t="s">
        <v>46</v>
      </c>
      <c r="G3" s="9">
        <v>51.9</v>
      </c>
      <c r="H3" s="9">
        <v>30.1</v>
      </c>
      <c r="I3" s="11">
        <v>1.2999999999999999E-2</v>
      </c>
      <c r="J3" s="9">
        <v>1.2999999999999999E-2</v>
      </c>
      <c r="K3" s="9">
        <f t="shared" si="0"/>
        <v>2.5999999999999999E-2</v>
      </c>
      <c r="L3" s="12" t="s">
        <v>47</v>
      </c>
      <c r="M3" s="9">
        <v>5</v>
      </c>
      <c r="N3" s="13">
        <f t="shared" ref="N3:N20" si="8">(L3/M3)*5*20*50000</f>
        <v>45000000</v>
      </c>
      <c r="O3" s="13">
        <f t="shared" si="1"/>
        <v>13500000</v>
      </c>
      <c r="P3" s="13">
        <f t="shared" si="2"/>
        <v>519230769.23076928</v>
      </c>
      <c r="Q3" s="9">
        <v>52</v>
      </c>
      <c r="R3" s="9">
        <v>5</v>
      </c>
      <c r="S3" s="13">
        <f t="shared" si="3"/>
        <v>52000000</v>
      </c>
      <c r="T3" s="13">
        <f t="shared" si="4"/>
        <v>15600000</v>
      </c>
      <c r="U3" s="13">
        <f t="shared" si="5"/>
        <v>600000000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f t="shared" ref="AF3:AF20" si="9">AVERAGE(O3,T3,Y3,AD3)</f>
        <v>14550000</v>
      </c>
      <c r="AG3" s="11">
        <v>107</v>
      </c>
      <c r="AH3" s="13">
        <v>4</v>
      </c>
      <c r="AI3" s="9">
        <f t="shared" si="6"/>
        <v>96.396396396396398</v>
      </c>
      <c r="AJ3" s="11">
        <v>20</v>
      </c>
      <c r="AK3" s="13">
        <v>123</v>
      </c>
      <c r="AL3" s="9">
        <f t="shared" si="7"/>
        <v>13.986013986013987</v>
      </c>
      <c r="AM3" s="11">
        <v>12.754</v>
      </c>
      <c r="AN3" s="13">
        <v>12.78</v>
      </c>
      <c r="AO3" s="13"/>
      <c r="AQ3" s="9"/>
      <c r="AR3" s="9"/>
      <c r="AS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</row>
    <row r="4" spans="1:107" x14ac:dyDescent="0.25">
      <c r="A4" s="7">
        <v>43157</v>
      </c>
      <c r="B4" s="7">
        <v>43159</v>
      </c>
      <c r="C4" s="8" t="s">
        <v>48</v>
      </c>
      <c r="D4" s="9" t="s">
        <v>42</v>
      </c>
      <c r="E4" s="9" t="s">
        <v>43</v>
      </c>
      <c r="F4" s="10" t="s">
        <v>46</v>
      </c>
      <c r="G4" s="9">
        <v>51.8</v>
      </c>
      <c r="H4" s="9">
        <v>30</v>
      </c>
      <c r="I4" s="11">
        <v>1.0999999999999999E-2</v>
      </c>
      <c r="J4" s="9">
        <v>0.01</v>
      </c>
      <c r="K4" s="9">
        <f t="shared" si="0"/>
        <v>2.0999999999999998E-2</v>
      </c>
      <c r="L4" s="12" t="s">
        <v>49</v>
      </c>
      <c r="M4" s="9">
        <v>5</v>
      </c>
      <c r="N4" s="13">
        <f t="shared" si="8"/>
        <v>42000000</v>
      </c>
      <c r="O4" s="13">
        <f t="shared" si="1"/>
        <v>12600000</v>
      </c>
      <c r="P4" s="13">
        <f t="shared" si="2"/>
        <v>600000000.00000012</v>
      </c>
      <c r="Q4" s="9">
        <v>44</v>
      </c>
      <c r="R4" s="9">
        <v>5</v>
      </c>
      <c r="S4" s="13">
        <f t="shared" si="3"/>
        <v>44000000</v>
      </c>
      <c r="T4" s="13">
        <f t="shared" si="4"/>
        <v>13200000</v>
      </c>
      <c r="U4" s="13">
        <f t="shared" si="5"/>
        <v>628571428.57142866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>
        <f t="shared" si="9"/>
        <v>12900000</v>
      </c>
      <c r="AG4" s="11">
        <v>185</v>
      </c>
      <c r="AH4" s="13">
        <v>7</v>
      </c>
      <c r="AI4" s="9">
        <f t="shared" si="6"/>
        <v>96.354166666666657</v>
      </c>
      <c r="AJ4" s="11">
        <v>10</v>
      </c>
      <c r="AK4" s="13">
        <v>101</v>
      </c>
      <c r="AL4" s="9">
        <f t="shared" si="7"/>
        <v>9.0090090090090094</v>
      </c>
      <c r="AM4" s="11">
        <v>12.281000000000001</v>
      </c>
      <c r="AN4" s="13">
        <v>12.302</v>
      </c>
      <c r="AO4" s="13"/>
      <c r="AQ4" s="9"/>
      <c r="AR4" s="9"/>
      <c r="AS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</row>
    <row r="5" spans="1:107" s="8" customFormat="1" x14ac:dyDescent="0.25">
      <c r="A5" s="7">
        <v>43157</v>
      </c>
      <c r="B5" s="7">
        <v>43159</v>
      </c>
      <c r="C5" s="8" t="s">
        <v>50</v>
      </c>
      <c r="D5" s="9" t="s">
        <v>42</v>
      </c>
      <c r="E5" s="9" t="s">
        <v>43</v>
      </c>
      <c r="F5" s="10" t="s">
        <v>46</v>
      </c>
      <c r="G5" s="9">
        <v>51.1</v>
      </c>
      <c r="H5" s="9">
        <v>29.5</v>
      </c>
      <c r="I5" s="11">
        <v>8.0000000000000002E-3</v>
      </c>
      <c r="J5" s="9">
        <v>7.0000000000000001E-3</v>
      </c>
      <c r="K5" s="9">
        <f t="shared" si="0"/>
        <v>1.4999999999999999E-2</v>
      </c>
      <c r="L5" s="12" t="s">
        <v>51</v>
      </c>
      <c r="M5" s="9">
        <v>9</v>
      </c>
      <c r="N5" s="13">
        <f t="shared" si="8"/>
        <v>22222222.222222224</v>
      </c>
      <c r="O5" s="13">
        <f t="shared" si="1"/>
        <v>6666666.666666667</v>
      </c>
      <c r="P5" s="13">
        <f t="shared" si="2"/>
        <v>444444444.44444448</v>
      </c>
      <c r="Q5" s="9">
        <v>45</v>
      </c>
      <c r="R5" s="9">
        <v>9</v>
      </c>
      <c r="S5" s="13">
        <f t="shared" si="3"/>
        <v>25000000</v>
      </c>
      <c r="T5" s="13">
        <f t="shared" si="4"/>
        <v>7500000</v>
      </c>
      <c r="U5" s="13">
        <f t="shared" si="5"/>
        <v>500000000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f t="shared" si="9"/>
        <v>7083333.333333334</v>
      </c>
      <c r="AG5" s="11">
        <v>112</v>
      </c>
      <c r="AH5" s="13">
        <v>2</v>
      </c>
      <c r="AI5" s="9">
        <f t="shared" si="6"/>
        <v>98.245614035087712</v>
      </c>
      <c r="AJ5" s="11">
        <v>10</v>
      </c>
      <c r="AK5" s="13">
        <v>116</v>
      </c>
      <c r="AL5" s="9">
        <f t="shared" si="7"/>
        <v>7.9365079365079358</v>
      </c>
      <c r="AM5" s="11">
        <v>12.436</v>
      </c>
      <c r="AN5" s="13">
        <v>12.450999999999999</v>
      </c>
      <c r="AO5" s="13"/>
      <c r="AQ5" s="9"/>
      <c r="AR5" s="9"/>
      <c r="AS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</row>
    <row r="6" spans="1:107" x14ac:dyDescent="0.25">
      <c r="A6" s="7">
        <v>43157</v>
      </c>
      <c r="B6" s="7">
        <v>43159</v>
      </c>
      <c r="C6" s="8" t="s">
        <v>52</v>
      </c>
      <c r="D6" s="9" t="s">
        <v>42</v>
      </c>
      <c r="E6" s="9" t="s">
        <v>43</v>
      </c>
      <c r="F6" s="10" t="s">
        <v>46</v>
      </c>
      <c r="G6" s="9">
        <v>50.9</v>
      </c>
      <c r="H6" s="9">
        <v>29.8</v>
      </c>
      <c r="I6" s="11">
        <v>1.0999999999999999E-2</v>
      </c>
      <c r="J6" s="9">
        <v>1.2E-2</v>
      </c>
      <c r="K6" s="9">
        <f t="shared" si="0"/>
        <v>2.3E-2</v>
      </c>
      <c r="L6" s="12" t="s">
        <v>53</v>
      </c>
      <c r="M6" s="9">
        <v>5</v>
      </c>
      <c r="N6" s="13">
        <f t="shared" si="8"/>
        <v>71000000</v>
      </c>
      <c r="O6" s="13">
        <f t="shared" si="1"/>
        <v>21300000</v>
      </c>
      <c r="P6" s="13">
        <f t="shared" si="2"/>
        <v>926086956.52173913</v>
      </c>
      <c r="Q6" s="9">
        <v>64</v>
      </c>
      <c r="R6" s="9">
        <v>5</v>
      </c>
      <c r="S6" s="13">
        <f t="shared" si="3"/>
        <v>64000000</v>
      </c>
      <c r="T6" s="13">
        <f t="shared" si="4"/>
        <v>19200000</v>
      </c>
      <c r="U6" s="13">
        <f t="shared" si="5"/>
        <v>834782608.69565225</v>
      </c>
      <c r="V6" s="13">
        <v>42</v>
      </c>
      <c r="W6" s="9">
        <v>5</v>
      </c>
      <c r="X6" s="13">
        <f>(V6/W6)*5*20*50000</f>
        <v>42000000</v>
      </c>
      <c r="Y6" s="13">
        <f>X6*0.3</f>
        <v>12600000</v>
      </c>
      <c r="Z6" s="13">
        <f>Y6/K6</f>
        <v>547826086.95652175</v>
      </c>
      <c r="AA6" s="13">
        <v>112</v>
      </c>
      <c r="AB6" s="9">
        <v>5</v>
      </c>
      <c r="AC6" s="13">
        <f>(AA6/AB6)*5*20*50000</f>
        <v>112000000</v>
      </c>
      <c r="AD6" s="13">
        <f>AC6*0.3</f>
        <v>33600000</v>
      </c>
      <c r="AE6" s="13">
        <f>AD6/K6</f>
        <v>1460869565.2173913</v>
      </c>
      <c r="AF6" s="13">
        <f>AVERAGE(O6,T6,Y6,AD6)</f>
        <v>21675000</v>
      </c>
      <c r="AG6" s="11">
        <v>106</v>
      </c>
      <c r="AH6" s="13">
        <v>2</v>
      </c>
      <c r="AI6" s="9">
        <f t="shared" si="6"/>
        <v>98.148148148148152</v>
      </c>
      <c r="AJ6" s="11">
        <v>20</v>
      </c>
      <c r="AK6" s="13">
        <v>99</v>
      </c>
      <c r="AL6" s="9">
        <f t="shared" si="7"/>
        <v>16.806722689075631</v>
      </c>
      <c r="AM6" s="11">
        <v>11.157</v>
      </c>
      <c r="AN6" s="13">
        <v>11.18</v>
      </c>
      <c r="AO6" s="13"/>
      <c r="AQ6" s="9"/>
      <c r="AR6" s="9"/>
      <c r="AS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</row>
    <row r="7" spans="1:107" x14ac:dyDescent="0.25">
      <c r="A7" s="7">
        <v>43157</v>
      </c>
      <c r="B7" s="7">
        <v>43159</v>
      </c>
      <c r="C7" s="8" t="s">
        <v>54</v>
      </c>
      <c r="D7" s="9" t="s">
        <v>42</v>
      </c>
      <c r="E7" s="9" t="s">
        <v>43</v>
      </c>
      <c r="F7" s="10" t="s">
        <v>46</v>
      </c>
      <c r="G7" s="9">
        <v>47.8</v>
      </c>
      <c r="H7" s="9">
        <v>28.5</v>
      </c>
      <c r="I7" s="11">
        <v>0.01</v>
      </c>
      <c r="J7" s="9">
        <v>1.2E-2</v>
      </c>
      <c r="K7" s="9">
        <f t="shared" si="0"/>
        <v>2.1999999999999999E-2</v>
      </c>
      <c r="L7" s="12" t="s">
        <v>55</v>
      </c>
      <c r="M7" s="9">
        <v>5</v>
      </c>
      <c r="N7" s="13">
        <f t="shared" si="8"/>
        <v>69000000</v>
      </c>
      <c r="O7" s="13">
        <f t="shared" si="1"/>
        <v>20700000</v>
      </c>
      <c r="P7" s="13">
        <f t="shared" si="2"/>
        <v>940909090.909091</v>
      </c>
      <c r="Q7" s="9">
        <v>73</v>
      </c>
      <c r="R7" s="9">
        <v>5</v>
      </c>
      <c r="S7" s="13">
        <f t="shared" si="3"/>
        <v>73000000</v>
      </c>
      <c r="T7" s="13">
        <f t="shared" si="4"/>
        <v>21900000</v>
      </c>
      <c r="U7" s="13">
        <f t="shared" si="5"/>
        <v>995454545.4545455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>
        <f t="shared" si="9"/>
        <v>21300000</v>
      </c>
      <c r="AG7" s="11">
        <v>135</v>
      </c>
      <c r="AH7" s="13">
        <v>4</v>
      </c>
      <c r="AI7" s="9">
        <f t="shared" si="6"/>
        <v>97.122302158273371</v>
      </c>
      <c r="AJ7" s="11">
        <v>28</v>
      </c>
      <c r="AK7" s="13">
        <v>91</v>
      </c>
      <c r="AL7" s="9">
        <f t="shared" si="7"/>
        <v>23.52941176470588</v>
      </c>
      <c r="AM7" s="11">
        <v>10.471</v>
      </c>
      <c r="AN7" s="13">
        <v>10.493</v>
      </c>
      <c r="AO7" s="13"/>
      <c r="AQ7" s="9"/>
      <c r="AR7" s="9"/>
      <c r="AS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</row>
    <row r="8" spans="1:107" x14ac:dyDescent="0.25">
      <c r="A8" s="7">
        <v>43182</v>
      </c>
      <c r="B8" s="15">
        <v>43184</v>
      </c>
      <c r="C8" s="8" t="s">
        <v>56</v>
      </c>
      <c r="D8" s="9" t="s">
        <v>42</v>
      </c>
      <c r="E8" s="9" t="s">
        <v>43</v>
      </c>
      <c r="F8" s="10" t="s">
        <v>46</v>
      </c>
      <c r="G8" s="9">
        <v>48.9</v>
      </c>
      <c r="H8" s="9">
        <v>28.1</v>
      </c>
      <c r="I8" s="11">
        <v>8.9999999999999993E-3</v>
      </c>
      <c r="J8" s="9">
        <v>0.01</v>
      </c>
      <c r="K8" s="9">
        <f t="shared" si="0"/>
        <v>1.9E-2</v>
      </c>
      <c r="L8" s="16">
        <v>68</v>
      </c>
      <c r="M8" s="9">
        <v>25</v>
      </c>
      <c r="N8" s="13">
        <f t="shared" si="8"/>
        <v>13600000</v>
      </c>
      <c r="O8" s="13">
        <f t="shared" si="1"/>
        <v>4080000</v>
      </c>
      <c r="P8" s="13">
        <f t="shared" si="2"/>
        <v>214736842.10526317</v>
      </c>
      <c r="Q8" s="9">
        <v>86</v>
      </c>
      <c r="R8" s="9">
        <v>25</v>
      </c>
      <c r="S8" s="13">
        <f t="shared" si="3"/>
        <v>17200000</v>
      </c>
      <c r="T8" s="13">
        <f t="shared" si="4"/>
        <v>5160000</v>
      </c>
      <c r="U8" s="13">
        <f t="shared" si="5"/>
        <v>271578947.36842108</v>
      </c>
      <c r="V8" s="13">
        <v>86</v>
      </c>
      <c r="W8" s="9">
        <v>25</v>
      </c>
      <c r="X8" s="13">
        <f>(V8/W8)*5*20*50000</f>
        <v>17200000</v>
      </c>
      <c r="Y8" s="13">
        <f>X8*0.3</f>
        <v>5160000</v>
      </c>
      <c r="Z8" s="13">
        <f>Y8/K8</f>
        <v>271578947.36842108</v>
      </c>
      <c r="AA8" s="13">
        <v>96</v>
      </c>
      <c r="AB8" s="9">
        <v>25</v>
      </c>
      <c r="AC8" s="13">
        <f>(AA8/AB8)*5*20*50000</f>
        <v>19200000</v>
      </c>
      <c r="AD8" s="13">
        <f>AC8*0.3</f>
        <v>5760000</v>
      </c>
      <c r="AE8" s="13">
        <f>AD8/K8</f>
        <v>303157894.7368421</v>
      </c>
      <c r="AF8" s="13">
        <f t="shared" si="9"/>
        <v>5040000</v>
      </c>
      <c r="AG8" s="11">
        <v>111</v>
      </c>
      <c r="AH8" s="9">
        <v>7</v>
      </c>
      <c r="AI8" s="9">
        <f t="shared" si="6"/>
        <v>94.067796610169495</v>
      </c>
      <c r="AJ8" s="11">
        <v>11</v>
      </c>
      <c r="AK8" s="9">
        <v>74</v>
      </c>
      <c r="AL8" s="9">
        <f t="shared" si="7"/>
        <v>12.941176470588237</v>
      </c>
      <c r="AM8" s="11">
        <v>12.172000000000001</v>
      </c>
      <c r="AN8" s="13">
        <v>12.191000000000001</v>
      </c>
      <c r="AO8" s="9"/>
      <c r="AQ8" s="9"/>
      <c r="AR8" s="9"/>
      <c r="AS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</row>
    <row r="9" spans="1:107" x14ac:dyDescent="0.25">
      <c r="A9" s="7">
        <v>43182</v>
      </c>
      <c r="B9" s="15">
        <v>43184</v>
      </c>
      <c r="C9" s="8" t="s">
        <v>57</v>
      </c>
      <c r="D9" s="9" t="s">
        <v>42</v>
      </c>
      <c r="E9" s="9" t="s">
        <v>43</v>
      </c>
      <c r="F9" s="10" t="s">
        <v>46</v>
      </c>
      <c r="G9" s="9">
        <v>49.9</v>
      </c>
      <c r="H9" s="9">
        <v>28.3</v>
      </c>
      <c r="I9" s="11">
        <v>1.2E-2</v>
      </c>
      <c r="J9" s="9">
        <v>1.4E-2</v>
      </c>
      <c r="K9" s="9">
        <f t="shared" si="0"/>
        <v>2.6000000000000002E-2</v>
      </c>
      <c r="L9" s="16">
        <v>69</v>
      </c>
      <c r="M9" s="17">
        <v>5</v>
      </c>
      <c r="N9" s="13">
        <f t="shared" si="8"/>
        <v>69000000</v>
      </c>
      <c r="O9" s="13">
        <f t="shared" si="1"/>
        <v>20700000</v>
      </c>
      <c r="P9" s="13">
        <f t="shared" si="2"/>
        <v>796153846.15384603</v>
      </c>
      <c r="Q9" s="9">
        <v>97</v>
      </c>
      <c r="R9" s="9">
        <v>5</v>
      </c>
      <c r="S9" s="13">
        <f t="shared" si="3"/>
        <v>97000000</v>
      </c>
      <c r="T9" s="13">
        <f t="shared" si="4"/>
        <v>29100000</v>
      </c>
      <c r="U9" s="13">
        <f t="shared" si="5"/>
        <v>1119230769.2307692</v>
      </c>
      <c r="V9" s="13">
        <v>81</v>
      </c>
      <c r="W9" s="9">
        <v>5</v>
      </c>
      <c r="X9" s="13">
        <f>(V9/W9)*5*20*50000</f>
        <v>81000000</v>
      </c>
      <c r="Y9" s="13">
        <f>X9*0.3</f>
        <v>24300000</v>
      </c>
      <c r="Z9" s="13">
        <f>Y9/K9</f>
        <v>934615384.61538458</v>
      </c>
      <c r="AA9" s="13">
        <v>93</v>
      </c>
      <c r="AB9" s="9">
        <v>5</v>
      </c>
      <c r="AC9" s="13">
        <f>(AA9/AB9)*5*20*50000</f>
        <v>93000000</v>
      </c>
      <c r="AD9" s="13">
        <f>AC9*0.3</f>
        <v>27900000</v>
      </c>
      <c r="AE9" s="13">
        <f>AD9/K9</f>
        <v>1073076923.076923</v>
      </c>
      <c r="AF9" s="13">
        <f t="shared" si="9"/>
        <v>25500000</v>
      </c>
      <c r="AG9" s="11">
        <v>140</v>
      </c>
      <c r="AH9" s="9">
        <v>4</v>
      </c>
      <c r="AI9" s="9">
        <f t="shared" si="6"/>
        <v>97.222222222222214</v>
      </c>
      <c r="AJ9" s="11">
        <v>40</v>
      </c>
      <c r="AK9" s="9">
        <v>58</v>
      </c>
      <c r="AL9" s="9">
        <f t="shared" si="7"/>
        <v>40.816326530612244</v>
      </c>
      <c r="AM9" s="11">
        <v>11.438000000000001</v>
      </c>
      <c r="AN9" s="13">
        <v>11.464</v>
      </c>
      <c r="AO9" s="9"/>
      <c r="AQ9" s="9"/>
      <c r="AR9" s="9"/>
      <c r="AS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</row>
    <row r="10" spans="1:107" x14ac:dyDescent="0.25">
      <c r="A10" s="7">
        <v>43182</v>
      </c>
      <c r="B10" s="15">
        <v>43184</v>
      </c>
      <c r="C10" s="8" t="s">
        <v>58</v>
      </c>
      <c r="D10" s="9" t="s">
        <v>42</v>
      </c>
      <c r="E10" s="9" t="s">
        <v>43</v>
      </c>
      <c r="F10" s="10" t="s">
        <v>46</v>
      </c>
      <c r="G10" s="9">
        <v>50.2</v>
      </c>
      <c r="H10" s="9">
        <v>29.7</v>
      </c>
      <c r="I10" s="11">
        <v>8.9999999999999993E-3</v>
      </c>
      <c r="J10" s="9">
        <v>0.01</v>
      </c>
      <c r="K10" s="9">
        <f t="shared" si="0"/>
        <v>1.9E-2</v>
      </c>
      <c r="L10" s="16">
        <v>111</v>
      </c>
      <c r="M10" s="17">
        <v>25</v>
      </c>
      <c r="N10" s="13">
        <f t="shared" si="8"/>
        <v>22200000.000000004</v>
      </c>
      <c r="O10" s="13">
        <f t="shared" si="1"/>
        <v>6660000.0000000009</v>
      </c>
      <c r="P10" s="13">
        <f t="shared" si="2"/>
        <v>350526315.78947371</v>
      </c>
      <c r="Q10" s="9">
        <v>158</v>
      </c>
      <c r="R10" s="9">
        <v>25</v>
      </c>
      <c r="S10" s="13">
        <f t="shared" si="3"/>
        <v>31600000</v>
      </c>
      <c r="T10" s="13">
        <f t="shared" si="4"/>
        <v>9480000</v>
      </c>
      <c r="U10" s="13">
        <f t="shared" si="5"/>
        <v>498947368.42105263</v>
      </c>
      <c r="V10" s="13">
        <v>149</v>
      </c>
      <c r="W10" s="9">
        <v>25</v>
      </c>
      <c r="X10" s="13">
        <f>(V10/W10)*5*20*50000</f>
        <v>29800000</v>
      </c>
      <c r="Y10" s="13">
        <f>X10*0.3</f>
        <v>8940000</v>
      </c>
      <c r="Z10" s="13">
        <f>Y10/K10</f>
        <v>470526315.78947371</v>
      </c>
      <c r="AA10" s="13">
        <v>121</v>
      </c>
      <c r="AB10" s="9">
        <v>25</v>
      </c>
      <c r="AC10" s="13">
        <f>(AA10/AB10)*5*20*50000</f>
        <v>24200000</v>
      </c>
      <c r="AD10" s="13">
        <f>AC10*0.3</f>
        <v>7260000</v>
      </c>
      <c r="AE10" s="13">
        <f>AD10/K10</f>
        <v>382105263.15789473</v>
      </c>
      <c r="AF10" s="13">
        <f t="shared" si="9"/>
        <v>8085000</v>
      </c>
      <c r="AG10" s="11">
        <v>114</v>
      </c>
      <c r="AH10" s="9">
        <v>8</v>
      </c>
      <c r="AI10" s="9">
        <f t="shared" si="6"/>
        <v>93.442622950819683</v>
      </c>
      <c r="AJ10" s="11">
        <v>10</v>
      </c>
      <c r="AK10" s="9">
        <v>64</v>
      </c>
      <c r="AL10" s="9">
        <f t="shared" si="7"/>
        <v>13.513513513513514</v>
      </c>
      <c r="AM10" s="11">
        <v>12.164999999999999</v>
      </c>
      <c r="AN10" s="13">
        <v>12.183999999999999</v>
      </c>
      <c r="AO10" s="9"/>
      <c r="AQ10" s="9"/>
      <c r="AR10" s="9"/>
      <c r="AS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</row>
    <row r="11" spans="1:107" x14ac:dyDescent="0.25">
      <c r="A11" s="7">
        <v>43151</v>
      </c>
      <c r="B11" s="7">
        <v>43152</v>
      </c>
      <c r="C11" s="18" t="s">
        <v>59</v>
      </c>
      <c r="D11" s="9" t="s">
        <v>60</v>
      </c>
      <c r="E11" s="9" t="s">
        <v>43</v>
      </c>
      <c r="F11" s="10" t="s">
        <v>61</v>
      </c>
      <c r="G11" s="9">
        <v>48.5</v>
      </c>
      <c r="H11" s="9">
        <v>28.9</v>
      </c>
      <c r="I11" s="11">
        <v>8.9999999999999993E-3</v>
      </c>
      <c r="J11" s="9">
        <v>8.9999999999999993E-3</v>
      </c>
      <c r="K11" s="9">
        <f t="shared" si="0"/>
        <v>1.7999999999999999E-2</v>
      </c>
      <c r="L11" s="12" t="s">
        <v>62</v>
      </c>
      <c r="M11" s="13">
        <v>9</v>
      </c>
      <c r="N11" s="13">
        <f t="shared" si="8"/>
        <v>28333333.333333336</v>
      </c>
      <c r="O11" s="13">
        <f t="shared" si="1"/>
        <v>8500000</v>
      </c>
      <c r="P11" s="13">
        <f t="shared" si="2"/>
        <v>472222222.22222227</v>
      </c>
      <c r="Q11" s="13">
        <v>47</v>
      </c>
      <c r="R11" s="13">
        <v>9</v>
      </c>
      <c r="S11" s="13">
        <f t="shared" si="3"/>
        <v>26111111.111111112</v>
      </c>
      <c r="T11" s="13">
        <f t="shared" si="4"/>
        <v>7833333.333333333</v>
      </c>
      <c r="U11" s="13">
        <f t="shared" si="5"/>
        <v>435185185.18518519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>
        <f t="shared" si="9"/>
        <v>8166666.666666666</v>
      </c>
      <c r="AG11" s="11">
        <v>154</v>
      </c>
      <c r="AH11" s="13">
        <v>4</v>
      </c>
      <c r="AI11" s="9">
        <f t="shared" si="6"/>
        <v>97.468354430379748</v>
      </c>
      <c r="AJ11" s="11">
        <v>5</v>
      </c>
      <c r="AK11" s="13">
        <v>118</v>
      </c>
      <c r="AL11" s="9">
        <f t="shared" si="7"/>
        <v>4.0650406504065035</v>
      </c>
      <c r="AM11" s="11">
        <v>11</v>
      </c>
      <c r="AN11" s="13">
        <v>11.018000000000001</v>
      </c>
      <c r="AO11" s="13"/>
      <c r="AQ11" s="9"/>
      <c r="AR11" s="9"/>
      <c r="AS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</row>
    <row r="12" spans="1:107" s="9" customFormat="1" x14ac:dyDescent="0.25">
      <c r="A12" s="7">
        <v>43151</v>
      </c>
      <c r="B12" s="7">
        <v>43152</v>
      </c>
      <c r="C12" s="18" t="s">
        <v>63</v>
      </c>
      <c r="D12" s="9" t="s">
        <v>60</v>
      </c>
      <c r="E12" s="9" t="s">
        <v>43</v>
      </c>
      <c r="F12" s="10" t="s">
        <v>61</v>
      </c>
      <c r="G12" s="9">
        <v>48.5</v>
      </c>
      <c r="H12" s="9">
        <v>27.9</v>
      </c>
      <c r="I12" s="11">
        <v>8.0000000000000002E-3</v>
      </c>
      <c r="J12" s="9">
        <v>5.0000000000000001E-3</v>
      </c>
      <c r="K12" s="9">
        <f t="shared" si="0"/>
        <v>1.3000000000000001E-2</v>
      </c>
      <c r="L12" s="12">
        <v>26</v>
      </c>
      <c r="M12" s="9">
        <v>9</v>
      </c>
      <c r="N12" s="13">
        <f t="shared" si="8"/>
        <v>14444444.444444446</v>
      </c>
      <c r="O12" s="13">
        <f t="shared" si="1"/>
        <v>4333333.333333334</v>
      </c>
      <c r="P12" s="13">
        <f t="shared" si="2"/>
        <v>333333333.33333337</v>
      </c>
      <c r="Q12" s="9">
        <v>119</v>
      </c>
      <c r="R12" s="9">
        <v>25</v>
      </c>
      <c r="S12" s="13">
        <f t="shared" si="3"/>
        <v>23799999.999999996</v>
      </c>
      <c r="T12" s="13">
        <f t="shared" si="4"/>
        <v>7139999.9999999991</v>
      </c>
      <c r="U12" s="13">
        <f t="shared" si="5"/>
        <v>549230769.23076916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f t="shared" si="9"/>
        <v>5736666.666666666</v>
      </c>
      <c r="AG12" s="11">
        <v>162</v>
      </c>
      <c r="AH12" s="9">
        <v>5</v>
      </c>
      <c r="AI12" s="9">
        <f t="shared" si="6"/>
        <v>97.005988023952099</v>
      </c>
      <c r="AJ12" s="11">
        <v>5</v>
      </c>
      <c r="AK12" s="9">
        <v>120</v>
      </c>
      <c r="AL12" s="9">
        <f t="shared" si="7"/>
        <v>4</v>
      </c>
      <c r="AM12" s="11">
        <v>11</v>
      </c>
      <c r="AN12" s="13">
        <v>11.013</v>
      </c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</row>
    <row r="13" spans="1:107" s="20" customFormat="1" x14ac:dyDescent="0.25">
      <c r="A13" s="7">
        <v>43151</v>
      </c>
      <c r="B13" s="7">
        <v>43153</v>
      </c>
      <c r="C13" s="18" t="s">
        <v>64</v>
      </c>
      <c r="D13" s="9" t="s">
        <v>60</v>
      </c>
      <c r="E13" s="9" t="s">
        <v>43</v>
      </c>
      <c r="F13" s="10" t="s">
        <v>61</v>
      </c>
      <c r="G13" s="9">
        <v>42.7</v>
      </c>
      <c r="H13" s="9">
        <v>25.7</v>
      </c>
      <c r="I13" s="11">
        <v>4.0000000000000001E-3</v>
      </c>
      <c r="J13" s="11">
        <v>3.0000000000000001E-3</v>
      </c>
      <c r="K13" s="11">
        <f t="shared" si="0"/>
        <v>7.0000000000000001E-3</v>
      </c>
      <c r="L13" s="19">
        <v>57</v>
      </c>
      <c r="M13" s="13">
        <v>25</v>
      </c>
      <c r="N13" s="13">
        <f t="shared" si="8"/>
        <v>11399999.999999998</v>
      </c>
      <c r="O13" s="13">
        <f t="shared" si="1"/>
        <v>3419999.9999999995</v>
      </c>
      <c r="P13" s="13">
        <f t="shared" si="2"/>
        <v>488571428.57142848</v>
      </c>
      <c r="Q13" s="13">
        <v>51</v>
      </c>
      <c r="R13" s="13">
        <v>25</v>
      </c>
      <c r="S13" s="13">
        <f t="shared" si="3"/>
        <v>10199999.999999998</v>
      </c>
      <c r="T13" s="13">
        <f t="shared" si="4"/>
        <v>3059999.9999999995</v>
      </c>
      <c r="U13" s="13">
        <f t="shared" si="5"/>
        <v>437142857.14285707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>
        <f t="shared" si="9"/>
        <v>3239999.9999999995</v>
      </c>
      <c r="AG13" s="11">
        <v>122</v>
      </c>
      <c r="AH13" s="13">
        <v>5</v>
      </c>
      <c r="AI13" s="9">
        <f t="shared" si="6"/>
        <v>96.062992125984252</v>
      </c>
      <c r="AJ13" s="11">
        <v>4</v>
      </c>
      <c r="AK13" s="13">
        <v>102</v>
      </c>
      <c r="AL13" s="9">
        <f t="shared" si="7"/>
        <v>3.7735849056603774</v>
      </c>
      <c r="AM13" s="11">
        <v>6.3959999999999999</v>
      </c>
      <c r="AN13" s="13">
        <v>6.4029999999999996</v>
      </c>
      <c r="AO13" s="9"/>
      <c r="AQ13" s="9"/>
      <c r="AR13" s="9"/>
      <c r="AS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</row>
    <row r="14" spans="1:107" s="9" customFormat="1" x14ac:dyDescent="0.25">
      <c r="A14" s="7">
        <v>43151</v>
      </c>
      <c r="B14" s="7">
        <v>43153</v>
      </c>
      <c r="C14" s="18" t="s">
        <v>65</v>
      </c>
      <c r="D14" s="9" t="s">
        <v>60</v>
      </c>
      <c r="E14" s="9" t="s">
        <v>43</v>
      </c>
      <c r="F14" s="10">
        <v>12</v>
      </c>
      <c r="G14" s="9">
        <v>48.2</v>
      </c>
      <c r="H14" s="9">
        <v>29.4</v>
      </c>
      <c r="I14" s="11">
        <v>6.0000000000000001E-3</v>
      </c>
      <c r="J14" s="9">
        <v>6.0000000000000001E-3</v>
      </c>
      <c r="K14" s="9">
        <f t="shared" si="0"/>
        <v>1.2E-2</v>
      </c>
      <c r="L14" s="12" t="s">
        <v>66</v>
      </c>
      <c r="M14" s="9">
        <v>25</v>
      </c>
      <c r="N14" s="13">
        <f t="shared" si="8"/>
        <v>20600000</v>
      </c>
      <c r="O14" s="13">
        <f t="shared" si="1"/>
        <v>6180000</v>
      </c>
      <c r="P14" s="13">
        <f t="shared" si="2"/>
        <v>515000000</v>
      </c>
      <c r="Q14" s="9">
        <v>97</v>
      </c>
      <c r="R14" s="9">
        <v>25</v>
      </c>
      <c r="S14" s="13">
        <f t="shared" si="3"/>
        <v>19399999.999999996</v>
      </c>
      <c r="T14" s="13">
        <f t="shared" si="4"/>
        <v>5819999.9999999991</v>
      </c>
      <c r="U14" s="13">
        <f t="shared" si="5"/>
        <v>484999999.99999994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f t="shared" si="9"/>
        <v>6000000</v>
      </c>
      <c r="AG14" s="11">
        <v>100</v>
      </c>
      <c r="AH14" s="13">
        <v>9</v>
      </c>
      <c r="AI14" s="9">
        <f t="shared" si="6"/>
        <v>91.743119266055047</v>
      </c>
      <c r="AJ14" s="11">
        <v>2</v>
      </c>
      <c r="AK14" s="13">
        <v>110</v>
      </c>
      <c r="AL14" s="9">
        <f t="shared" si="7"/>
        <v>1.7857142857142856</v>
      </c>
      <c r="AM14" s="11">
        <v>9.8230000000000004</v>
      </c>
      <c r="AN14" s="13">
        <v>9.8350000000000009</v>
      </c>
      <c r="AO14" s="13" t="s">
        <v>67</v>
      </c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</row>
    <row r="15" spans="1:107" s="9" customFormat="1" x14ac:dyDescent="0.25">
      <c r="A15" s="7">
        <v>43157</v>
      </c>
      <c r="B15" s="7">
        <v>43159</v>
      </c>
      <c r="C15" s="18" t="s">
        <v>68</v>
      </c>
      <c r="D15" s="9" t="s">
        <v>60</v>
      </c>
      <c r="E15" s="9" t="s">
        <v>43</v>
      </c>
      <c r="F15" s="10" t="s">
        <v>46</v>
      </c>
      <c r="G15" s="9">
        <v>51.7</v>
      </c>
      <c r="H15" s="9">
        <v>29.3</v>
      </c>
      <c r="I15" s="11">
        <v>8.9999999999999993E-3</v>
      </c>
      <c r="J15" s="9">
        <v>1.2E-2</v>
      </c>
      <c r="K15" s="9">
        <f t="shared" si="0"/>
        <v>2.0999999999999998E-2</v>
      </c>
      <c r="L15" s="12" t="s">
        <v>69</v>
      </c>
      <c r="M15" s="13">
        <v>9</v>
      </c>
      <c r="N15" s="13">
        <f t="shared" si="8"/>
        <v>31666666.666666664</v>
      </c>
      <c r="O15" s="13">
        <f t="shared" si="1"/>
        <v>9499999.9999999981</v>
      </c>
      <c r="P15" s="13">
        <f t="shared" si="2"/>
        <v>452380952.38095236</v>
      </c>
      <c r="Q15" s="13">
        <v>61</v>
      </c>
      <c r="R15" s="13">
        <v>9</v>
      </c>
      <c r="S15" s="13">
        <f t="shared" si="3"/>
        <v>33888888.888888888</v>
      </c>
      <c r="T15" s="13">
        <f t="shared" si="4"/>
        <v>10166666.666666666</v>
      </c>
      <c r="U15" s="13">
        <f t="shared" si="5"/>
        <v>484126984.12698412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f t="shared" si="9"/>
        <v>9833333.3333333321</v>
      </c>
      <c r="AG15" s="11">
        <v>122</v>
      </c>
      <c r="AH15" s="13">
        <v>1</v>
      </c>
      <c r="AI15" s="9">
        <f t="shared" si="6"/>
        <v>99.1869918699187</v>
      </c>
      <c r="AJ15" s="11">
        <v>17</v>
      </c>
      <c r="AK15" s="13">
        <v>124</v>
      </c>
      <c r="AL15" s="9">
        <f t="shared" si="7"/>
        <v>12.056737588652481</v>
      </c>
      <c r="AM15" s="11">
        <v>11.396000000000001</v>
      </c>
      <c r="AN15" s="13">
        <v>11.417000000000002</v>
      </c>
      <c r="AO15" s="13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</row>
    <row r="16" spans="1:107" s="9" customFormat="1" x14ac:dyDescent="0.25">
      <c r="A16" s="7">
        <v>43157</v>
      </c>
      <c r="B16" s="7">
        <v>43160</v>
      </c>
      <c r="C16" s="18" t="s">
        <v>70</v>
      </c>
      <c r="D16" s="9" t="s">
        <v>60</v>
      </c>
      <c r="E16" s="9" t="s">
        <v>43</v>
      </c>
      <c r="F16" s="10" t="s">
        <v>46</v>
      </c>
      <c r="G16" s="9">
        <v>50.3</v>
      </c>
      <c r="H16" s="9">
        <v>30.1</v>
      </c>
      <c r="I16" s="11">
        <v>8.9999999999999993E-3</v>
      </c>
      <c r="J16" s="9">
        <v>0.01</v>
      </c>
      <c r="K16" s="9">
        <f t="shared" si="0"/>
        <v>1.9E-2</v>
      </c>
      <c r="L16" s="12" t="s">
        <v>71</v>
      </c>
      <c r="M16" s="13">
        <v>9</v>
      </c>
      <c r="N16" s="13">
        <f t="shared" si="8"/>
        <v>22777777.777777776</v>
      </c>
      <c r="O16" s="13">
        <f t="shared" si="1"/>
        <v>6833333.333333333</v>
      </c>
      <c r="P16" s="13">
        <f t="shared" si="2"/>
        <v>359649122.80701756</v>
      </c>
      <c r="Q16" s="13">
        <v>45</v>
      </c>
      <c r="R16" s="13">
        <v>9</v>
      </c>
      <c r="S16" s="13">
        <f t="shared" si="3"/>
        <v>25000000</v>
      </c>
      <c r="T16" s="13">
        <f t="shared" si="4"/>
        <v>7500000</v>
      </c>
      <c r="U16" s="13">
        <f t="shared" si="5"/>
        <v>394736842.10526317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>
        <f t="shared" si="9"/>
        <v>7166666.666666666</v>
      </c>
      <c r="AG16" s="11">
        <v>196</v>
      </c>
      <c r="AH16" s="13">
        <v>41</v>
      </c>
      <c r="AI16" s="9">
        <f t="shared" si="6"/>
        <v>82.700421940928265</v>
      </c>
      <c r="AJ16" s="11">
        <v>18</v>
      </c>
      <c r="AK16" s="13">
        <v>121</v>
      </c>
      <c r="AL16" s="9">
        <f t="shared" si="7"/>
        <v>12.949640287769784</v>
      </c>
      <c r="AM16" s="11">
        <v>12.231</v>
      </c>
      <c r="AN16" s="13">
        <v>12.25</v>
      </c>
      <c r="AO16" s="13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</row>
    <row r="17" spans="1:40" s="9" customFormat="1" x14ac:dyDescent="0.25">
      <c r="A17" s="7">
        <v>43182</v>
      </c>
      <c r="B17" s="7">
        <v>43184</v>
      </c>
      <c r="C17" s="18" t="s">
        <v>72</v>
      </c>
      <c r="D17" s="9" t="s">
        <v>60</v>
      </c>
      <c r="E17" s="9" t="s">
        <v>43</v>
      </c>
      <c r="F17" s="10" t="s">
        <v>46</v>
      </c>
      <c r="G17" s="9">
        <v>51.1</v>
      </c>
      <c r="H17" s="9">
        <v>30.4</v>
      </c>
      <c r="I17" s="11">
        <v>1.2E-2</v>
      </c>
      <c r="J17" s="9">
        <v>1.0999999999999999E-2</v>
      </c>
      <c r="K17" s="9">
        <f t="shared" si="0"/>
        <v>2.3E-2</v>
      </c>
      <c r="L17" s="16">
        <v>64</v>
      </c>
      <c r="M17" s="13">
        <v>9</v>
      </c>
      <c r="N17" s="13">
        <f t="shared" si="8"/>
        <v>35555555.555555552</v>
      </c>
      <c r="O17" s="13">
        <f t="shared" si="1"/>
        <v>10666666.666666666</v>
      </c>
      <c r="P17" s="13">
        <f t="shared" si="2"/>
        <v>463768115.94202894</v>
      </c>
      <c r="Q17" s="9">
        <v>84</v>
      </c>
      <c r="R17" s="9">
        <v>9</v>
      </c>
      <c r="S17" s="13">
        <f t="shared" si="3"/>
        <v>46666666.666666672</v>
      </c>
      <c r="T17" s="13">
        <f t="shared" si="4"/>
        <v>14000000.000000002</v>
      </c>
      <c r="U17" s="13">
        <f t="shared" si="5"/>
        <v>608695652.17391312</v>
      </c>
      <c r="V17" s="13">
        <v>55</v>
      </c>
      <c r="W17" s="9">
        <v>9</v>
      </c>
      <c r="X17" s="13">
        <f>(V17/W17)*5*20*50000</f>
        <v>30555555.555555556</v>
      </c>
      <c r="Y17" s="13">
        <f>X17*0.3</f>
        <v>9166666.666666666</v>
      </c>
      <c r="Z17" s="13">
        <f>Y17/K17</f>
        <v>398550724.63768113</v>
      </c>
      <c r="AA17" s="13">
        <v>64</v>
      </c>
      <c r="AB17" s="9">
        <v>9</v>
      </c>
      <c r="AC17" s="13">
        <f>(AA17/AB17)*5*20*50000</f>
        <v>35555555.555555552</v>
      </c>
      <c r="AD17" s="13">
        <f>AC17*0.3</f>
        <v>10666666.666666666</v>
      </c>
      <c r="AE17" s="13">
        <f>AD17/K17</f>
        <v>463768115.94202894</v>
      </c>
      <c r="AF17" s="13">
        <f t="shared" si="9"/>
        <v>11125000</v>
      </c>
      <c r="AG17" s="11">
        <v>180</v>
      </c>
      <c r="AH17" s="9">
        <v>5</v>
      </c>
      <c r="AI17" s="9">
        <f t="shared" si="6"/>
        <v>97.297297297297305</v>
      </c>
      <c r="AJ17" s="11">
        <v>40</v>
      </c>
      <c r="AK17" s="9">
        <v>61</v>
      </c>
      <c r="AL17" s="9">
        <f t="shared" si="7"/>
        <v>39.603960396039604</v>
      </c>
      <c r="AM17" s="21">
        <v>12.68</v>
      </c>
      <c r="AN17" s="13">
        <v>12.702999999999999</v>
      </c>
    </row>
    <row r="18" spans="1:40" s="9" customFormat="1" x14ac:dyDescent="0.25">
      <c r="A18" s="7">
        <v>43182</v>
      </c>
      <c r="B18" s="15">
        <v>43184</v>
      </c>
      <c r="C18" s="18" t="s">
        <v>73</v>
      </c>
      <c r="D18" s="9" t="s">
        <v>60</v>
      </c>
      <c r="E18" s="9" t="s">
        <v>43</v>
      </c>
      <c r="F18" s="10" t="s">
        <v>46</v>
      </c>
      <c r="G18" s="9">
        <v>51.7</v>
      </c>
      <c r="H18" s="9">
        <v>30.5</v>
      </c>
      <c r="I18" s="11">
        <v>6.0000000000000001E-3</v>
      </c>
      <c r="J18" s="9">
        <v>8.9999999999999993E-3</v>
      </c>
      <c r="K18" s="9">
        <f t="shared" si="0"/>
        <v>1.4999999999999999E-2</v>
      </c>
      <c r="L18" s="12" t="s">
        <v>74</v>
      </c>
      <c r="M18" s="9">
        <v>25</v>
      </c>
      <c r="N18" s="13">
        <f t="shared" si="8"/>
        <v>15200000</v>
      </c>
      <c r="O18" s="13">
        <f t="shared" si="1"/>
        <v>4560000</v>
      </c>
      <c r="P18" s="13">
        <f t="shared" si="2"/>
        <v>304000000</v>
      </c>
      <c r="Q18" s="9">
        <v>85</v>
      </c>
      <c r="R18" s="9">
        <v>25</v>
      </c>
      <c r="S18" s="13">
        <f t="shared" si="3"/>
        <v>17000000</v>
      </c>
      <c r="T18" s="13">
        <f t="shared" si="4"/>
        <v>5100000</v>
      </c>
      <c r="U18" s="13">
        <f t="shared" si="5"/>
        <v>340000000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f t="shared" si="9"/>
        <v>4830000</v>
      </c>
      <c r="AG18" s="11">
        <v>223</v>
      </c>
      <c r="AH18" s="9">
        <v>3</v>
      </c>
      <c r="AI18" s="9">
        <f t="shared" si="6"/>
        <v>98.672566371681413</v>
      </c>
      <c r="AJ18" s="11">
        <v>33</v>
      </c>
      <c r="AK18" s="9">
        <v>66</v>
      </c>
      <c r="AL18" s="9">
        <f t="shared" si="7"/>
        <v>33.333333333333329</v>
      </c>
      <c r="AM18" s="11">
        <v>12.254</v>
      </c>
      <c r="AN18" s="13">
        <v>12.269</v>
      </c>
    </row>
    <row r="19" spans="1:40" s="9" customFormat="1" x14ac:dyDescent="0.25">
      <c r="A19" s="7">
        <v>43182</v>
      </c>
      <c r="B19" s="15">
        <v>43184</v>
      </c>
      <c r="C19" s="18" t="s">
        <v>75</v>
      </c>
      <c r="D19" s="9" t="s">
        <v>60</v>
      </c>
      <c r="E19" s="9" t="s">
        <v>43</v>
      </c>
      <c r="F19" s="10" t="s">
        <v>46</v>
      </c>
      <c r="G19" s="9">
        <v>49.1</v>
      </c>
      <c r="H19" s="9">
        <v>29</v>
      </c>
      <c r="I19" s="11">
        <v>8.0000000000000002E-3</v>
      </c>
      <c r="J19" s="9">
        <v>1.2999999999999999E-2</v>
      </c>
      <c r="K19" s="9">
        <f t="shared" si="0"/>
        <v>2.0999999999999998E-2</v>
      </c>
      <c r="L19" s="12" t="s">
        <v>76</v>
      </c>
      <c r="M19" s="9">
        <v>9</v>
      </c>
      <c r="N19" s="13">
        <f t="shared" si="8"/>
        <v>46111111.111111112</v>
      </c>
      <c r="O19" s="13">
        <f t="shared" si="1"/>
        <v>13833333.333333334</v>
      </c>
      <c r="P19" s="13">
        <f t="shared" si="2"/>
        <v>658730158.73015881</v>
      </c>
      <c r="Q19" s="9">
        <v>94</v>
      </c>
      <c r="R19" s="9">
        <v>9</v>
      </c>
      <c r="S19" s="13">
        <f t="shared" si="3"/>
        <v>52222222.222222224</v>
      </c>
      <c r="T19" s="13">
        <f t="shared" si="4"/>
        <v>15666666.666666666</v>
      </c>
      <c r="U19" s="13">
        <f t="shared" si="5"/>
        <v>746031746.03174603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>
        <f t="shared" si="9"/>
        <v>14750000</v>
      </c>
      <c r="AG19" s="11">
        <v>70</v>
      </c>
      <c r="AH19" s="9">
        <v>4</v>
      </c>
      <c r="AI19" s="9">
        <f t="shared" si="6"/>
        <v>94.594594594594597</v>
      </c>
      <c r="AJ19" s="11">
        <v>42</v>
      </c>
      <c r="AK19" s="9">
        <v>75</v>
      </c>
      <c r="AL19" s="9">
        <f t="shared" si="7"/>
        <v>35.897435897435898</v>
      </c>
      <c r="AM19" s="11">
        <v>11.587</v>
      </c>
      <c r="AN19" s="13">
        <v>11.607999999999999</v>
      </c>
    </row>
    <row r="20" spans="1:40" s="9" customFormat="1" x14ac:dyDescent="0.25">
      <c r="A20" s="7">
        <v>43182</v>
      </c>
      <c r="B20" s="15">
        <v>43184</v>
      </c>
      <c r="C20" s="18" t="s">
        <v>77</v>
      </c>
      <c r="D20" s="9" t="s">
        <v>60</v>
      </c>
      <c r="E20" s="9" t="s">
        <v>43</v>
      </c>
      <c r="F20" s="10" t="s">
        <v>46</v>
      </c>
      <c r="G20" s="9">
        <v>50.3</v>
      </c>
      <c r="H20" s="9">
        <v>28.6</v>
      </c>
      <c r="I20" s="11">
        <v>8.0000000000000002E-3</v>
      </c>
      <c r="J20" s="9">
        <v>8.0000000000000002E-3</v>
      </c>
      <c r="K20" s="9">
        <f t="shared" si="0"/>
        <v>1.6E-2</v>
      </c>
      <c r="L20" s="12" t="s">
        <v>78</v>
      </c>
      <c r="M20" s="9">
        <v>9</v>
      </c>
      <c r="N20" s="13">
        <f t="shared" si="8"/>
        <v>45000000</v>
      </c>
      <c r="O20" s="13">
        <f t="shared" si="1"/>
        <v>13500000</v>
      </c>
      <c r="P20" s="13">
        <f t="shared" si="2"/>
        <v>843750000</v>
      </c>
      <c r="Q20" s="9">
        <v>73</v>
      </c>
      <c r="R20" s="9">
        <v>9</v>
      </c>
      <c r="S20" s="13">
        <f t="shared" si="3"/>
        <v>40555555.555555552</v>
      </c>
      <c r="T20" s="13">
        <f t="shared" si="4"/>
        <v>12166666.666666666</v>
      </c>
      <c r="U20" s="13">
        <f t="shared" si="5"/>
        <v>760416666.66666663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f t="shared" si="9"/>
        <v>12833333.333333332</v>
      </c>
      <c r="AG20" s="11">
        <v>167</v>
      </c>
      <c r="AH20" s="9">
        <v>1</v>
      </c>
      <c r="AI20" s="9">
        <f t="shared" si="6"/>
        <v>99.404761904761912</v>
      </c>
      <c r="AJ20" s="11">
        <v>13</v>
      </c>
      <c r="AK20" s="9">
        <v>106</v>
      </c>
      <c r="AL20" s="9">
        <f t="shared" si="7"/>
        <v>10.92436974789916</v>
      </c>
      <c r="AM20" s="11">
        <v>11.364000000000001</v>
      </c>
      <c r="AN20" s="13">
        <v>11.379999999999999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4"/>
  <sheetViews>
    <sheetView tabSelected="1" topLeftCell="AH1" workbookViewId="0">
      <selection activeCell="AK18" sqref="AK18"/>
    </sheetView>
  </sheetViews>
  <sheetFormatPr defaultRowHeight="15" x14ac:dyDescent="0.25"/>
  <cols>
    <col min="1" max="1" width="33" style="20" bestFit="1" customWidth="1"/>
    <col min="2" max="2" width="22.42578125" style="20" bestFit="1" customWidth="1"/>
    <col min="3" max="3" width="10.7109375" style="20" bestFit="1" customWidth="1"/>
    <col min="4" max="4" width="15.85546875" style="20" bestFit="1" customWidth="1"/>
    <col min="5" max="5" width="27.7109375" style="20" bestFit="1" customWidth="1"/>
    <col min="6" max="7" width="7.7109375" style="20" bestFit="1" customWidth="1"/>
    <col min="8" max="8" width="12.42578125" style="20" bestFit="1" customWidth="1"/>
    <col min="9" max="9" width="10.7109375" style="20" bestFit="1" customWidth="1"/>
    <col min="10" max="10" width="36.85546875" style="20" bestFit="1" customWidth="1"/>
    <col min="11" max="11" width="9.140625" style="20" bestFit="1" customWidth="1"/>
    <col min="12" max="12" width="15.28515625" style="20" bestFit="1" customWidth="1"/>
    <col min="13" max="13" width="15.28515625" style="20" customWidth="1"/>
    <col min="14" max="14" width="18.140625" style="20" bestFit="1" customWidth="1"/>
    <col min="15" max="15" width="17.28515625" style="20" bestFit="1" customWidth="1"/>
    <col min="16" max="16" width="16" style="20" bestFit="1" customWidth="1"/>
    <col min="17" max="17" width="15.7109375" style="20" bestFit="1" customWidth="1"/>
    <col min="18" max="18" width="14.5703125" style="20" bestFit="1" customWidth="1"/>
    <col min="19" max="19" width="24.28515625" style="20" bestFit="1" customWidth="1"/>
    <col min="20" max="20" width="25.28515625" style="20" bestFit="1" customWidth="1"/>
    <col min="21" max="21" width="15.85546875" bestFit="1" customWidth="1"/>
    <col min="22" max="22" width="15.85546875" customWidth="1"/>
    <col min="23" max="23" width="34.5703125" style="20" bestFit="1" customWidth="1"/>
    <col min="24" max="24" width="33.140625" style="20" bestFit="1" customWidth="1"/>
    <col min="25" max="25" width="33.140625" style="20" customWidth="1"/>
    <col min="26" max="26" width="35.28515625" style="20" bestFit="1" customWidth="1"/>
    <col min="27" max="27" width="33.85546875" style="9" bestFit="1" customWidth="1"/>
    <col min="28" max="28" width="33.85546875" style="9" customWidth="1"/>
    <col min="29" max="29" width="35.7109375" style="20" bestFit="1" customWidth="1"/>
    <col min="30" max="30" width="34.28515625" style="9" bestFit="1" customWidth="1"/>
    <col min="31" max="31" width="34.28515625" style="9" customWidth="1"/>
    <col min="32" max="32" width="35" style="20" bestFit="1" customWidth="1"/>
    <col min="33" max="33" width="33.5703125" style="20" bestFit="1" customWidth="1"/>
    <col min="34" max="34" width="28.140625" bestFit="1" customWidth="1"/>
    <col min="35" max="35" width="24" style="20" bestFit="1" customWidth="1"/>
    <col min="36" max="36" width="9.140625" style="20"/>
    <col min="37" max="37" width="42.42578125" style="20" bestFit="1" customWidth="1"/>
    <col min="38" max="38" width="21.5703125" style="20" bestFit="1" customWidth="1"/>
    <col min="39" max="39" width="21.5703125" style="20" customWidth="1"/>
    <col min="40" max="40" width="126.42578125" style="20" bestFit="1" customWidth="1"/>
    <col min="41" max="41" width="47.28515625" style="20" bestFit="1" customWidth="1"/>
    <col min="42" max="42" width="9.140625" style="20"/>
    <col min="43" max="43" width="45" style="20" bestFit="1" customWidth="1"/>
    <col min="44" max="16384" width="9.140625" style="20"/>
  </cols>
  <sheetData>
    <row r="1" spans="1:43" s="1" customFormat="1" x14ac:dyDescent="0.25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82</v>
      </c>
      <c r="K1" s="1" t="s">
        <v>83</v>
      </c>
      <c r="L1" s="1" t="s">
        <v>84</v>
      </c>
      <c r="N1" s="1" t="s">
        <v>85</v>
      </c>
      <c r="O1" s="4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80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4" t="s">
        <v>107</v>
      </c>
      <c r="AL1" s="6" t="s">
        <v>108</v>
      </c>
      <c r="AM1" s="6" t="s">
        <v>109</v>
      </c>
      <c r="AN1" s="1" t="s">
        <v>40</v>
      </c>
    </row>
    <row r="2" spans="1:43" x14ac:dyDescent="0.25">
      <c r="A2" s="15">
        <v>43151</v>
      </c>
      <c r="B2" s="15">
        <v>43152</v>
      </c>
      <c r="C2" s="22">
        <f t="shared" ref="C2:C20" si="0">_xlfn.DAYS(B2,A2)</f>
        <v>1</v>
      </c>
      <c r="D2" s="20" t="s">
        <v>110</v>
      </c>
      <c r="E2" s="20" t="s">
        <v>60</v>
      </c>
      <c r="F2" s="20" t="s">
        <v>111</v>
      </c>
      <c r="G2" s="23" t="s">
        <v>61</v>
      </c>
      <c r="H2" s="20">
        <v>50.6</v>
      </c>
      <c r="I2" s="20">
        <v>29.2</v>
      </c>
      <c r="J2" s="20" t="s">
        <v>112</v>
      </c>
      <c r="K2" s="20" t="s">
        <v>112</v>
      </c>
      <c r="L2" s="20">
        <v>445</v>
      </c>
      <c r="N2" s="15">
        <v>43152</v>
      </c>
      <c r="O2" s="24">
        <v>9.1999999999999998E-2</v>
      </c>
      <c r="P2" s="20">
        <v>0.13300000000000001</v>
      </c>
      <c r="Q2" s="20">
        <v>0.107</v>
      </c>
      <c r="R2" s="20">
        <v>0.125</v>
      </c>
      <c r="S2" s="20">
        <f t="shared" ref="S2:S12" si="1">SUM(P2,R2)</f>
        <v>0.25800000000000001</v>
      </c>
      <c r="T2" s="20">
        <f t="shared" ref="T2:T7" si="2">SUM(O2,Q2)</f>
        <v>0.19900000000000001</v>
      </c>
      <c r="U2" s="20" t="s">
        <v>110</v>
      </c>
      <c r="V2" s="20" t="s">
        <v>113</v>
      </c>
      <c r="W2" s="9">
        <v>41</v>
      </c>
      <c r="X2" s="20">
        <v>66</v>
      </c>
      <c r="Y2" s="20">
        <f>SUM(W2:X2)</f>
        <v>107</v>
      </c>
      <c r="Z2" s="9">
        <v>99</v>
      </c>
      <c r="AA2" s="9">
        <v>109</v>
      </c>
      <c r="AB2" s="9">
        <f>SUM(Z2:AA2)</f>
        <v>208</v>
      </c>
      <c r="AC2" s="9">
        <v>22</v>
      </c>
      <c r="AD2" s="9">
        <v>18</v>
      </c>
      <c r="AE2" s="9">
        <f>SUM(AC2:AD2)</f>
        <v>40</v>
      </c>
      <c r="AF2" s="9">
        <v>13</v>
      </c>
      <c r="AG2" s="20">
        <v>10</v>
      </c>
      <c r="AH2">
        <f>SUM(AF2:AG2)</f>
        <v>23</v>
      </c>
      <c r="AI2" s="20">
        <v>445</v>
      </c>
      <c r="AJ2" s="20">
        <f>AH2/AI2</f>
        <v>5.1685393258426963E-2</v>
      </c>
      <c r="AK2" s="24">
        <v>12.5</v>
      </c>
      <c r="AL2" s="25">
        <f t="shared" ref="AL2:AL9" si="3">SUM(AK2, S2, T2)</f>
        <v>12.956999999999999</v>
      </c>
      <c r="AM2" s="25">
        <f>S2/AL2</f>
        <v>1.9912016670525588E-2</v>
      </c>
      <c r="AQ2" s="15"/>
    </row>
    <row r="3" spans="1:43" x14ac:dyDescent="0.25">
      <c r="A3" s="15">
        <v>43151</v>
      </c>
      <c r="B3" s="15">
        <v>43152</v>
      </c>
      <c r="C3" s="22">
        <f t="shared" si="0"/>
        <v>1</v>
      </c>
      <c r="D3" s="20" t="s">
        <v>114</v>
      </c>
      <c r="E3" s="20" t="s">
        <v>60</v>
      </c>
      <c r="F3" s="20" t="s">
        <v>111</v>
      </c>
      <c r="G3" s="23" t="s">
        <v>61</v>
      </c>
      <c r="H3" s="20">
        <v>50.3</v>
      </c>
      <c r="I3" s="20">
        <v>28.5</v>
      </c>
      <c r="J3" s="20" t="s">
        <v>112</v>
      </c>
      <c r="K3" s="20" t="s">
        <v>112</v>
      </c>
      <c r="L3" s="20">
        <v>348</v>
      </c>
      <c r="N3" s="15">
        <v>43152</v>
      </c>
      <c r="O3" s="24">
        <v>7.8E-2</v>
      </c>
      <c r="P3" s="20">
        <v>9.6000000000000002E-2</v>
      </c>
      <c r="Q3" s="20">
        <v>7.4999999999999997E-2</v>
      </c>
      <c r="R3" s="20">
        <v>9.4E-2</v>
      </c>
      <c r="S3" s="20">
        <f t="shared" si="1"/>
        <v>0.19</v>
      </c>
      <c r="T3" s="20">
        <f t="shared" si="2"/>
        <v>0.153</v>
      </c>
      <c r="U3" s="20" t="s">
        <v>114</v>
      </c>
      <c r="V3" s="20" t="s">
        <v>113</v>
      </c>
      <c r="W3" s="9">
        <v>65</v>
      </c>
      <c r="X3" s="20">
        <v>89</v>
      </c>
      <c r="Y3" s="20">
        <f t="shared" ref="Y3:Y20" si="4">SUM(W3:X3)</f>
        <v>154</v>
      </c>
      <c r="Z3" s="9">
        <v>53</v>
      </c>
      <c r="AA3" s="9">
        <v>48</v>
      </c>
      <c r="AB3" s="9">
        <f t="shared" ref="AB3:AB20" si="5">SUM(Z3:AA3)</f>
        <v>101</v>
      </c>
      <c r="AC3" s="9">
        <v>14</v>
      </c>
      <c r="AD3" s="9">
        <v>12</v>
      </c>
      <c r="AE3" s="9">
        <f t="shared" ref="AE3:AE20" si="6">SUM(AC3:AD3)</f>
        <v>26</v>
      </c>
      <c r="AF3" s="9">
        <v>2</v>
      </c>
      <c r="AG3" s="20">
        <v>8</v>
      </c>
      <c r="AH3">
        <f t="shared" ref="AH3:AH20" si="7">SUM(AF3:AG3)</f>
        <v>10</v>
      </c>
      <c r="AI3" s="20">
        <v>348</v>
      </c>
      <c r="AJ3" s="20">
        <f t="shared" ref="AJ3:AJ14" si="8">AH3/AI3</f>
        <v>2.8735632183908046E-2</v>
      </c>
      <c r="AK3" s="24">
        <v>11</v>
      </c>
      <c r="AL3" s="25">
        <f t="shared" si="3"/>
        <v>11.343</v>
      </c>
      <c r="AM3" s="25">
        <f t="shared" ref="AM3:AM20" si="9">S3/AL3</f>
        <v>1.675041876046901E-2</v>
      </c>
      <c r="AQ3" s="15"/>
    </row>
    <row r="4" spans="1:43" x14ac:dyDescent="0.25">
      <c r="A4" s="15">
        <v>43151</v>
      </c>
      <c r="B4" s="15">
        <v>43153</v>
      </c>
      <c r="C4" s="22">
        <f t="shared" si="0"/>
        <v>2</v>
      </c>
      <c r="D4" s="20" t="s">
        <v>115</v>
      </c>
      <c r="E4" s="20" t="s">
        <v>60</v>
      </c>
      <c r="F4" s="20" t="s">
        <v>111</v>
      </c>
      <c r="G4" s="23" t="s">
        <v>61</v>
      </c>
      <c r="H4" s="20">
        <v>51.3</v>
      </c>
      <c r="I4" s="20">
        <v>29.9</v>
      </c>
      <c r="J4" s="20" t="s">
        <v>112</v>
      </c>
      <c r="K4" s="20" t="s">
        <v>112</v>
      </c>
      <c r="L4" s="20">
        <v>252</v>
      </c>
      <c r="N4" s="15">
        <v>43152</v>
      </c>
      <c r="O4" s="24">
        <v>8.5000000000000006E-2</v>
      </c>
      <c r="P4" s="20">
        <v>0.11</v>
      </c>
      <c r="Q4" s="20">
        <v>6.8000000000000005E-2</v>
      </c>
      <c r="R4" s="20">
        <v>0.11</v>
      </c>
      <c r="S4" s="20">
        <f t="shared" si="1"/>
        <v>0.22</v>
      </c>
      <c r="T4" s="20">
        <f t="shared" si="2"/>
        <v>0.15300000000000002</v>
      </c>
      <c r="U4" s="20" t="s">
        <v>115</v>
      </c>
      <c r="V4" s="20" t="s">
        <v>113</v>
      </c>
      <c r="W4" s="9">
        <v>54</v>
      </c>
      <c r="X4" s="20">
        <v>65</v>
      </c>
      <c r="Y4" s="20">
        <f t="shared" si="4"/>
        <v>119</v>
      </c>
      <c r="Z4" s="9">
        <v>77</v>
      </c>
      <c r="AA4" s="9">
        <v>77</v>
      </c>
      <c r="AB4" s="9">
        <f t="shared" si="5"/>
        <v>154</v>
      </c>
      <c r="AC4" s="9">
        <v>15</v>
      </c>
      <c r="AD4" s="9">
        <v>24</v>
      </c>
      <c r="AE4" s="9">
        <f t="shared" si="6"/>
        <v>39</v>
      </c>
      <c r="AF4" s="9">
        <v>5</v>
      </c>
      <c r="AG4" s="20">
        <v>6</v>
      </c>
      <c r="AH4">
        <f t="shared" si="7"/>
        <v>11</v>
      </c>
      <c r="AI4" s="20">
        <v>252</v>
      </c>
      <c r="AJ4" s="20">
        <f t="shared" si="8"/>
        <v>4.3650793650793648E-2</v>
      </c>
      <c r="AK4" s="24">
        <v>9.9809999999999999</v>
      </c>
      <c r="AL4" s="25">
        <f t="shared" si="3"/>
        <v>10.354000000000001</v>
      </c>
      <c r="AM4" s="25">
        <f t="shared" si="9"/>
        <v>2.1247826926791575E-2</v>
      </c>
      <c r="AQ4" s="15"/>
    </row>
    <row r="5" spans="1:43" x14ac:dyDescent="0.25">
      <c r="A5" s="15">
        <v>43151</v>
      </c>
      <c r="B5" s="15">
        <v>43153</v>
      </c>
      <c r="C5" s="22">
        <f t="shared" si="0"/>
        <v>2</v>
      </c>
      <c r="D5" s="20" t="s">
        <v>116</v>
      </c>
      <c r="E5" s="20" t="s">
        <v>60</v>
      </c>
      <c r="F5" s="20" t="s">
        <v>111</v>
      </c>
      <c r="G5" s="23">
        <v>12</v>
      </c>
      <c r="H5" s="20">
        <v>50</v>
      </c>
      <c r="I5" s="20">
        <v>28.7</v>
      </c>
      <c r="J5" s="20" t="s">
        <v>112</v>
      </c>
      <c r="K5" s="20" t="s">
        <v>117</v>
      </c>
      <c r="L5" s="20">
        <v>0</v>
      </c>
      <c r="N5" s="20" t="s">
        <v>44</v>
      </c>
      <c r="O5" s="24">
        <v>9.6000000000000002E-2</v>
      </c>
      <c r="P5" s="20">
        <v>7.5999999999999998E-2</v>
      </c>
      <c r="Q5" s="20">
        <v>7.2999999999999995E-2</v>
      </c>
      <c r="R5" s="20">
        <v>0.111</v>
      </c>
      <c r="S5" s="20">
        <f t="shared" si="1"/>
        <v>0.187</v>
      </c>
      <c r="T5" s="20">
        <f t="shared" si="2"/>
        <v>0.16899999999999998</v>
      </c>
      <c r="U5" s="20" t="s">
        <v>116</v>
      </c>
      <c r="V5" s="20" t="s">
        <v>113</v>
      </c>
      <c r="W5" s="9">
        <v>39</v>
      </c>
      <c r="X5" s="20">
        <v>71</v>
      </c>
      <c r="Y5" s="20">
        <f t="shared" si="4"/>
        <v>110</v>
      </c>
      <c r="Z5" s="9">
        <v>51</v>
      </c>
      <c r="AA5" s="9">
        <v>100</v>
      </c>
      <c r="AB5" s="9">
        <f t="shared" si="5"/>
        <v>151</v>
      </c>
      <c r="AC5" s="9">
        <v>17</v>
      </c>
      <c r="AD5" s="9">
        <v>24</v>
      </c>
      <c r="AE5" s="9">
        <f t="shared" si="6"/>
        <v>41</v>
      </c>
      <c r="AF5" s="9">
        <v>1</v>
      </c>
      <c r="AG5" s="20">
        <v>6</v>
      </c>
      <c r="AH5">
        <f t="shared" si="7"/>
        <v>7</v>
      </c>
      <c r="AI5" s="20">
        <v>0</v>
      </c>
      <c r="AK5" s="24">
        <v>8.3719999999999999</v>
      </c>
      <c r="AL5" s="25">
        <f t="shared" si="3"/>
        <v>8.7279999999999998</v>
      </c>
      <c r="AM5" s="25">
        <f t="shared" si="9"/>
        <v>2.1425297891842346E-2</v>
      </c>
      <c r="AN5" s="25" t="s">
        <v>67</v>
      </c>
    </row>
    <row r="6" spans="1:43" x14ac:dyDescent="0.25">
      <c r="A6" s="15">
        <v>43157</v>
      </c>
      <c r="B6" s="15">
        <v>43159</v>
      </c>
      <c r="C6" s="22">
        <f t="shared" si="0"/>
        <v>2</v>
      </c>
      <c r="D6" s="20" t="s">
        <v>118</v>
      </c>
      <c r="E6" s="20" t="s">
        <v>60</v>
      </c>
      <c r="F6" s="20" t="s">
        <v>111</v>
      </c>
      <c r="G6" s="23" t="s">
        <v>46</v>
      </c>
      <c r="H6" s="20">
        <v>50.4</v>
      </c>
      <c r="I6" s="20">
        <v>30.3</v>
      </c>
      <c r="J6" s="20" t="s">
        <v>119</v>
      </c>
      <c r="K6" s="20" t="s">
        <v>112</v>
      </c>
      <c r="L6" s="20">
        <v>514</v>
      </c>
      <c r="N6" s="15">
        <v>43159</v>
      </c>
      <c r="O6" s="24">
        <v>0.105</v>
      </c>
      <c r="P6" s="20">
        <v>0.20799999999999999</v>
      </c>
      <c r="Q6" s="20">
        <v>0.111</v>
      </c>
      <c r="R6" s="20">
        <v>0.16700000000000001</v>
      </c>
      <c r="S6" s="20">
        <f t="shared" si="1"/>
        <v>0.375</v>
      </c>
      <c r="T6" s="20">
        <f t="shared" si="2"/>
        <v>0.216</v>
      </c>
      <c r="U6" s="20" t="s">
        <v>118</v>
      </c>
      <c r="V6" s="20" t="s">
        <v>113</v>
      </c>
      <c r="W6" s="9">
        <v>68</v>
      </c>
      <c r="X6" s="20">
        <v>49</v>
      </c>
      <c r="Y6" s="20">
        <f t="shared" si="4"/>
        <v>117</v>
      </c>
      <c r="Z6" s="9">
        <v>133</v>
      </c>
      <c r="AA6" s="9">
        <v>116</v>
      </c>
      <c r="AB6" s="9">
        <f t="shared" si="5"/>
        <v>249</v>
      </c>
      <c r="AC6" s="9">
        <v>41</v>
      </c>
      <c r="AD6" s="9">
        <v>44</v>
      </c>
      <c r="AE6" s="9">
        <f t="shared" si="6"/>
        <v>85</v>
      </c>
      <c r="AF6" s="9">
        <v>16</v>
      </c>
      <c r="AG6" s="20">
        <v>5</v>
      </c>
      <c r="AH6">
        <f t="shared" si="7"/>
        <v>21</v>
      </c>
      <c r="AI6" s="20">
        <v>514</v>
      </c>
      <c r="AJ6" s="20">
        <f t="shared" si="8"/>
        <v>4.085603112840467E-2</v>
      </c>
      <c r="AK6" s="24">
        <v>11.180999999999999</v>
      </c>
      <c r="AL6" s="25">
        <f t="shared" si="3"/>
        <v>11.771999999999998</v>
      </c>
      <c r="AM6" s="25">
        <f t="shared" si="9"/>
        <v>3.1855249745158007E-2</v>
      </c>
      <c r="AN6" s="25"/>
      <c r="AO6" s="15"/>
    </row>
    <row r="7" spans="1:43" x14ac:dyDescent="0.25">
      <c r="A7" s="15">
        <v>43157</v>
      </c>
      <c r="B7" s="15">
        <v>43160</v>
      </c>
      <c r="C7" s="22">
        <f t="shared" si="0"/>
        <v>3</v>
      </c>
      <c r="D7" s="20" t="s">
        <v>120</v>
      </c>
      <c r="E7" s="20" t="s">
        <v>60</v>
      </c>
      <c r="F7" s="20" t="s">
        <v>111</v>
      </c>
      <c r="G7" s="23" t="s">
        <v>46</v>
      </c>
      <c r="H7" s="20">
        <v>50.9</v>
      </c>
      <c r="I7" s="20">
        <v>29.7</v>
      </c>
      <c r="J7" s="20" t="s">
        <v>119</v>
      </c>
      <c r="K7" s="20" t="s">
        <v>112</v>
      </c>
      <c r="L7" s="20">
        <v>275</v>
      </c>
      <c r="N7" s="15">
        <v>43160</v>
      </c>
      <c r="O7" s="24">
        <v>0.14000000000000001</v>
      </c>
      <c r="P7" s="20">
        <v>0.21</v>
      </c>
      <c r="Q7" s="20">
        <v>0.115</v>
      </c>
      <c r="R7" s="20">
        <v>0.27600000000000002</v>
      </c>
      <c r="S7" s="20">
        <f t="shared" si="1"/>
        <v>0.48599999999999999</v>
      </c>
      <c r="T7" s="20">
        <f t="shared" si="2"/>
        <v>0.255</v>
      </c>
      <c r="U7" s="20" t="s">
        <v>120</v>
      </c>
      <c r="V7" s="20" t="s">
        <v>113</v>
      </c>
      <c r="W7" s="9">
        <v>77</v>
      </c>
      <c r="X7" s="20">
        <v>87</v>
      </c>
      <c r="Y7" s="20">
        <f t="shared" si="4"/>
        <v>164</v>
      </c>
      <c r="Z7" s="9">
        <v>117</v>
      </c>
      <c r="AA7" s="9">
        <v>137</v>
      </c>
      <c r="AB7" s="9">
        <f t="shared" si="5"/>
        <v>254</v>
      </c>
      <c r="AC7" s="9">
        <v>39</v>
      </c>
      <c r="AD7" s="9">
        <v>74</v>
      </c>
      <c r="AE7" s="9">
        <f t="shared" si="6"/>
        <v>113</v>
      </c>
      <c r="AF7" s="9">
        <v>3</v>
      </c>
      <c r="AG7" s="20">
        <v>12</v>
      </c>
      <c r="AH7">
        <f t="shared" si="7"/>
        <v>15</v>
      </c>
      <c r="AI7" s="20">
        <v>275</v>
      </c>
      <c r="AJ7" s="20">
        <f t="shared" si="8"/>
        <v>5.4545454545454543E-2</v>
      </c>
      <c r="AK7" s="24">
        <v>10.794</v>
      </c>
      <c r="AL7" s="25">
        <f t="shared" si="3"/>
        <v>11.535000000000002</v>
      </c>
      <c r="AM7" s="25">
        <f t="shared" si="9"/>
        <v>4.2132639791937571E-2</v>
      </c>
      <c r="AN7" s="25"/>
      <c r="AO7" s="15"/>
    </row>
    <row r="8" spans="1:43" x14ac:dyDescent="0.25">
      <c r="A8" s="15">
        <v>43182</v>
      </c>
      <c r="B8" s="15">
        <v>43184</v>
      </c>
      <c r="C8" s="22">
        <f t="shared" si="0"/>
        <v>2</v>
      </c>
      <c r="D8" s="20" t="s">
        <v>121</v>
      </c>
      <c r="E8" s="20" t="s">
        <v>60</v>
      </c>
      <c r="F8" s="20" t="s">
        <v>111</v>
      </c>
      <c r="G8" s="23" t="s">
        <v>46</v>
      </c>
      <c r="H8" s="20">
        <v>51.7</v>
      </c>
      <c r="I8" s="20">
        <v>30.2</v>
      </c>
      <c r="J8" s="20" t="s">
        <v>112</v>
      </c>
      <c r="K8" s="20" t="s">
        <v>112</v>
      </c>
      <c r="L8" s="20">
        <v>368</v>
      </c>
      <c r="N8" s="15">
        <v>43182</v>
      </c>
      <c r="O8" s="24" t="s">
        <v>44</v>
      </c>
      <c r="P8" s="20">
        <v>0.16</v>
      </c>
      <c r="Q8" s="25" t="s">
        <v>44</v>
      </c>
      <c r="R8" s="20">
        <v>0.109</v>
      </c>
      <c r="S8" s="20">
        <f t="shared" si="1"/>
        <v>0.26900000000000002</v>
      </c>
      <c r="T8" s="20" t="s">
        <v>44</v>
      </c>
      <c r="U8" s="20" t="s">
        <v>121</v>
      </c>
      <c r="V8" s="20" t="s">
        <v>113</v>
      </c>
      <c r="W8" s="9">
        <v>69</v>
      </c>
      <c r="X8" s="20">
        <v>59</v>
      </c>
      <c r="Y8" s="20">
        <f t="shared" si="4"/>
        <v>128</v>
      </c>
      <c r="Z8" s="9">
        <v>86</v>
      </c>
      <c r="AA8" s="9">
        <v>49</v>
      </c>
      <c r="AB8" s="9">
        <f t="shared" si="5"/>
        <v>135</v>
      </c>
      <c r="AC8" s="9">
        <v>37</v>
      </c>
      <c r="AD8" s="9">
        <v>41</v>
      </c>
      <c r="AE8" s="9">
        <f t="shared" si="6"/>
        <v>78</v>
      </c>
      <c r="AF8" s="9">
        <v>16</v>
      </c>
      <c r="AG8" s="20">
        <v>14</v>
      </c>
      <c r="AH8">
        <f t="shared" si="7"/>
        <v>30</v>
      </c>
      <c r="AI8" s="20">
        <v>368</v>
      </c>
      <c r="AJ8" s="20">
        <f t="shared" si="8"/>
        <v>8.1521739130434784E-2</v>
      </c>
      <c r="AK8" s="24">
        <v>11.54</v>
      </c>
      <c r="AL8" s="25">
        <f t="shared" si="3"/>
        <v>11.808999999999999</v>
      </c>
      <c r="AM8" s="25">
        <f t="shared" si="9"/>
        <v>2.2779236175798124E-2</v>
      </c>
    </row>
    <row r="9" spans="1:43" x14ac:dyDescent="0.25">
      <c r="A9" s="15">
        <v>43182</v>
      </c>
      <c r="B9" s="15">
        <v>43184</v>
      </c>
      <c r="C9" s="22">
        <f t="shared" si="0"/>
        <v>2</v>
      </c>
      <c r="D9" s="20" t="s">
        <v>122</v>
      </c>
      <c r="E9" s="20" t="s">
        <v>60</v>
      </c>
      <c r="F9" s="20" t="s">
        <v>111</v>
      </c>
      <c r="G9" s="23" t="s">
        <v>46</v>
      </c>
      <c r="H9" s="20">
        <v>53.2</v>
      </c>
      <c r="I9" s="20">
        <v>29.8</v>
      </c>
      <c r="J9" s="20" t="s">
        <v>119</v>
      </c>
      <c r="K9" s="20" t="s">
        <v>112</v>
      </c>
      <c r="L9" s="20">
        <v>353</v>
      </c>
      <c r="N9" s="15">
        <v>43182</v>
      </c>
      <c r="O9" s="24" t="s">
        <v>44</v>
      </c>
      <c r="P9" s="20">
        <v>0.24299999999999999</v>
      </c>
      <c r="Q9" s="25" t="s">
        <v>44</v>
      </c>
      <c r="R9" s="20">
        <v>0.27100000000000002</v>
      </c>
      <c r="S9" s="20">
        <f t="shared" si="1"/>
        <v>0.51400000000000001</v>
      </c>
      <c r="T9" s="20" t="s">
        <v>44</v>
      </c>
      <c r="U9" s="20" t="s">
        <v>122</v>
      </c>
      <c r="V9" s="20" t="s">
        <v>113</v>
      </c>
      <c r="W9" s="9">
        <v>81</v>
      </c>
      <c r="X9" s="20">
        <v>54</v>
      </c>
      <c r="Y9" s="20">
        <f t="shared" si="4"/>
        <v>135</v>
      </c>
      <c r="Z9" s="9">
        <v>191</v>
      </c>
      <c r="AA9" s="9">
        <v>136</v>
      </c>
      <c r="AB9" s="9">
        <f t="shared" si="5"/>
        <v>327</v>
      </c>
      <c r="AC9" s="9">
        <v>61</v>
      </c>
      <c r="AD9" s="9">
        <v>41</v>
      </c>
      <c r="AE9" s="9">
        <f t="shared" si="6"/>
        <v>102</v>
      </c>
      <c r="AF9" s="9">
        <v>8</v>
      </c>
      <c r="AG9" s="20">
        <v>13</v>
      </c>
      <c r="AH9">
        <f t="shared" si="7"/>
        <v>21</v>
      </c>
      <c r="AI9" s="20">
        <v>353</v>
      </c>
      <c r="AJ9" s="20">
        <f t="shared" si="8"/>
        <v>5.9490084985835696E-2</v>
      </c>
      <c r="AK9" s="24">
        <v>13.4</v>
      </c>
      <c r="AL9" s="25">
        <f t="shared" si="3"/>
        <v>13.914</v>
      </c>
      <c r="AM9" s="25">
        <f t="shared" si="9"/>
        <v>3.694121029179244E-2</v>
      </c>
      <c r="AN9" s="20" t="s">
        <v>123</v>
      </c>
      <c r="AO9" s="20" t="s">
        <v>124</v>
      </c>
    </row>
    <row r="10" spans="1:43" s="28" customFormat="1" x14ac:dyDescent="0.25">
      <c r="A10" s="26">
        <v>43074</v>
      </c>
      <c r="B10" s="26">
        <v>43159</v>
      </c>
      <c r="C10" s="27">
        <f t="shared" si="0"/>
        <v>85</v>
      </c>
      <c r="D10" s="28" t="s">
        <v>125</v>
      </c>
      <c r="E10" s="28" t="s">
        <v>126</v>
      </c>
      <c r="F10" s="28" t="s">
        <v>111</v>
      </c>
      <c r="G10" s="29">
        <v>54</v>
      </c>
      <c r="H10" s="28">
        <v>54.2</v>
      </c>
      <c r="I10" s="28">
        <v>30.5</v>
      </c>
      <c r="J10" s="28" t="s">
        <v>112</v>
      </c>
      <c r="K10" s="28" t="s">
        <v>112</v>
      </c>
      <c r="L10" s="28">
        <v>300</v>
      </c>
      <c r="M10" s="28" t="s">
        <v>127</v>
      </c>
      <c r="N10" s="26">
        <v>43076</v>
      </c>
      <c r="O10" s="30" t="s">
        <v>44</v>
      </c>
      <c r="P10" s="31">
        <v>0.33100000000000002</v>
      </c>
      <c r="Q10" s="31" t="s">
        <v>44</v>
      </c>
      <c r="R10" s="31">
        <v>0.158</v>
      </c>
      <c r="S10" s="28">
        <f t="shared" si="1"/>
        <v>0.48899999999999999</v>
      </c>
      <c r="T10" s="28" t="s">
        <v>44</v>
      </c>
      <c r="U10" s="28" t="s">
        <v>125</v>
      </c>
      <c r="V10" s="20" t="s">
        <v>113</v>
      </c>
      <c r="W10" s="32">
        <v>66</v>
      </c>
      <c r="X10" s="28">
        <v>44</v>
      </c>
      <c r="Y10" s="20">
        <f t="shared" si="4"/>
        <v>110</v>
      </c>
      <c r="Z10" s="32">
        <v>138</v>
      </c>
      <c r="AA10" s="32">
        <v>96</v>
      </c>
      <c r="AB10" s="9">
        <f t="shared" si="5"/>
        <v>234</v>
      </c>
      <c r="AC10" s="32">
        <v>86</v>
      </c>
      <c r="AD10" s="32">
        <v>78</v>
      </c>
      <c r="AE10" s="9">
        <f t="shared" si="6"/>
        <v>164</v>
      </c>
      <c r="AF10" s="32">
        <v>19</v>
      </c>
      <c r="AG10" s="28">
        <v>11</v>
      </c>
      <c r="AH10">
        <f t="shared" si="7"/>
        <v>30</v>
      </c>
      <c r="AI10" s="28">
        <v>300</v>
      </c>
      <c r="AJ10" s="20">
        <f t="shared" si="8"/>
        <v>0.1</v>
      </c>
      <c r="AK10" s="30" t="s">
        <v>44</v>
      </c>
      <c r="AL10" s="31" t="s">
        <v>44</v>
      </c>
      <c r="AM10" s="25"/>
      <c r="AN10" s="31" t="s">
        <v>128</v>
      </c>
      <c r="AO10" s="26"/>
    </row>
    <row r="11" spans="1:43" s="28" customFormat="1" x14ac:dyDescent="0.25">
      <c r="A11" s="26">
        <v>43073</v>
      </c>
      <c r="B11" s="26">
        <v>43159</v>
      </c>
      <c r="C11" s="27">
        <f t="shared" si="0"/>
        <v>86</v>
      </c>
      <c r="D11" s="28" t="s">
        <v>129</v>
      </c>
      <c r="E11" s="28" t="s">
        <v>126</v>
      </c>
      <c r="F11" s="28" t="s">
        <v>111</v>
      </c>
      <c r="G11" s="29">
        <v>92</v>
      </c>
      <c r="H11" s="28">
        <v>50.2</v>
      </c>
      <c r="I11" s="28">
        <v>28.7</v>
      </c>
      <c r="J11" s="28" t="s">
        <v>112</v>
      </c>
      <c r="K11" s="28" t="s">
        <v>112</v>
      </c>
      <c r="L11" s="28">
        <v>150</v>
      </c>
      <c r="M11" s="28" t="s">
        <v>127</v>
      </c>
      <c r="N11" s="26">
        <v>43075</v>
      </c>
      <c r="O11" s="30" t="s">
        <v>44</v>
      </c>
      <c r="P11" s="31">
        <v>0.127</v>
      </c>
      <c r="Q11" s="31" t="s">
        <v>44</v>
      </c>
      <c r="R11" s="31">
        <v>0.154</v>
      </c>
      <c r="S11" s="28">
        <f t="shared" si="1"/>
        <v>0.28100000000000003</v>
      </c>
      <c r="T11" s="28" t="s">
        <v>44</v>
      </c>
      <c r="U11" s="28" t="s">
        <v>129</v>
      </c>
      <c r="V11" s="20" t="s">
        <v>113</v>
      </c>
      <c r="W11" s="32">
        <v>37</v>
      </c>
      <c r="X11" s="28">
        <v>23</v>
      </c>
      <c r="Y11" s="20">
        <f t="shared" si="4"/>
        <v>60</v>
      </c>
      <c r="Z11" s="32">
        <v>107</v>
      </c>
      <c r="AA11" s="32">
        <v>72</v>
      </c>
      <c r="AB11" s="9">
        <f t="shared" si="5"/>
        <v>179</v>
      </c>
      <c r="AC11" s="32">
        <v>39</v>
      </c>
      <c r="AD11" s="32">
        <v>72</v>
      </c>
      <c r="AE11" s="9">
        <f t="shared" si="6"/>
        <v>111</v>
      </c>
      <c r="AF11" s="32">
        <v>9</v>
      </c>
      <c r="AG11" s="28">
        <v>8</v>
      </c>
      <c r="AH11">
        <f t="shared" si="7"/>
        <v>17</v>
      </c>
      <c r="AI11" s="28">
        <v>150</v>
      </c>
      <c r="AJ11" s="20">
        <f t="shared" si="8"/>
        <v>0.11333333333333333</v>
      </c>
      <c r="AK11" s="30" t="s">
        <v>44</v>
      </c>
      <c r="AL11" s="31" t="s">
        <v>44</v>
      </c>
      <c r="AM11" s="25"/>
      <c r="AN11" s="31" t="s">
        <v>130</v>
      </c>
      <c r="AO11" s="26"/>
    </row>
    <row r="12" spans="1:43" s="28" customFormat="1" x14ac:dyDescent="0.25">
      <c r="A12" s="26">
        <v>43074</v>
      </c>
      <c r="B12" s="26">
        <v>43153</v>
      </c>
      <c r="C12" s="27">
        <f t="shared" si="0"/>
        <v>79</v>
      </c>
      <c r="D12" s="28" t="s">
        <v>131</v>
      </c>
      <c r="E12" s="28" t="s">
        <v>126</v>
      </c>
      <c r="F12" s="28" t="s">
        <v>111</v>
      </c>
      <c r="G12" s="29">
        <v>54</v>
      </c>
      <c r="H12" s="28">
        <v>54.3</v>
      </c>
      <c r="I12" s="28">
        <v>31.9</v>
      </c>
      <c r="J12" s="28" t="s">
        <v>112</v>
      </c>
      <c r="K12" s="28" t="s">
        <v>112</v>
      </c>
      <c r="L12" s="28">
        <v>200</v>
      </c>
      <c r="M12" s="28" t="s">
        <v>127</v>
      </c>
      <c r="N12" s="26">
        <v>43076</v>
      </c>
      <c r="O12" s="30">
        <v>0.126</v>
      </c>
      <c r="P12" s="28">
        <v>0.35</v>
      </c>
      <c r="Q12" s="28">
        <v>0.13400000000000001</v>
      </c>
      <c r="R12" s="28">
        <v>0.21099999999999999</v>
      </c>
      <c r="S12" s="28">
        <f t="shared" si="1"/>
        <v>0.56099999999999994</v>
      </c>
      <c r="T12" s="28">
        <f>SUM(O12,Q12)</f>
        <v>0.26</v>
      </c>
      <c r="U12" s="28" t="s">
        <v>131</v>
      </c>
      <c r="V12" s="20" t="s">
        <v>113</v>
      </c>
      <c r="W12" s="32">
        <v>29</v>
      </c>
      <c r="X12" s="28">
        <v>18</v>
      </c>
      <c r="Y12" s="20">
        <f t="shared" si="4"/>
        <v>47</v>
      </c>
      <c r="Z12" s="32">
        <v>39</v>
      </c>
      <c r="AA12" s="32">
        <v>31</v>
      </c>
      <c r="AB12" s="9">
        <f t="shared" si="5"/>
        <v>70</v>
      </c>
      <c r="AC12" s="32">
        <v>94</v>
      </c>
      <c r="AD12" s="32">
        <v>41</v>
      </c>
      <c r="AE12" s="9">
        <f t="shared" si="6"/>
        <v>135</v>
      </c>
      <c r="AF12" s="32">
        <v>94</v>
      </c>
      <c r="AG12" s="28">
        <v>77</v>
      </c>
      <c r="AH12">
        <f t="shared" si="7"/>
        <v>171</v>
      </c>
      <c r="AI12" s="28">
        <v>200</v>
      </c>
      <c r="AJ12" s="20">
        <f t="shared" si="8"/>
        <v>0.85499999999999998</v>
      </c>
      <c r="AK12" s="30">
        <v>11.429</v>
      </c>
      <c r="AL12" s="31">
        <f t="shared" ref="AL12:AL20" si="10">SUM(AK12, S12, T12)</f>
        <v>12.25</v>
      </c>
      <c r="AM12" s="25"/>
      <c r="AO12" s="26"/>
    </row>
    <row r="13" spans="1:43" s="28" customFormat="1" x14ac:dyDescent="0.25">
      <c r="A13" s="26">
        <v>43182</v>
      </c>
      <c r="B13" s="26">
        <v>43238</v>
      </c>
      <c r="C13" s="27">
        <f t="shared" si="0"/>
        <v>56</v>
      </c>
      <c r="D13" s="28" t="s">
        <v>132</v>
      </c>
      <c r="E13" s="28" t="s">
        <v>126</v>
      </c>
      <c r="F13" s="28" t="s">
        <v>111</v>
      </c>
      <c r="G13" s="29" t="s">
        <v>46</v>
      </c>
      <c r="H13" s="28">
        <v>52.3</v>
      </c>
      <c r="I13" s="28">
        <v>29.7</v>
      </c>
      <c r="J13" s="28" t="s">
        <v>112</v>
      </c>
      <c r="K13" s="28" t="s">
        <v>112</v>
      </c>
      <c r="L13" s="28">
        <v>239</v>
      </c>
      <c r="M13" s="28" t="s">
        <v>127</v>
      </c>
      <c r="N13" s="26">
        <v>43182</v>
      </c>
      <c r="O13" s="30" t="s">
        <v>44</v>
      </c>
      <c r="P13" s="28">
        <v>0.215</v>
      </c>
      <c r="R13" s="28">
        <v>0.20300000000000001</v>
      </c>
      <c r="S13" s="28" t="s">
        <v>44</v>
      </c>
      <c r="T13" s="28" t="s">
        <v>44</v>
      </c>
      <c r="U13" s="28" t="s">
        <v>132</v>
      </c>
      <c r="V13" s="20" t="s">
        <v>113</v>
      </c>
      <c r="W13" s="32">
        <v>59</v>
      </c>
      <c r="X13" s="28">
        <v>106</v>
      </c>
      <c r="Y13" s="20">
        <f t="shared" si="4"/>
        <v>165</v>
      </c>
      <c r="Z13" s="32">
        <v>108</v>
      </c>
      <c r="AA13" s="32">
        <v>139</v>
      </c>
      <c r="AB13" s="9">
        <f t="shared" si="5"/>
        <v>247</v>
      </c>
      <c r="AC13" s="32">
        <v>58</v>
      </c>
      <c r="AD13" s="32">
        <v>55</v>
      </c>
      <c r="AE13" s="9">
        <f t="shared" si="6"/>
        <v>113</v>
      </c>
      <c r="AF13" s="32">
        <v>55</v>
      </c>
      <c r="AG13" s="28">
        <v>30</v>
      </c>
      <c r="AH13">
        <f t="shared" si="7"/>
        <v>85</v>
      </c>
      <c r="AI13" s="28">
        <v>239</v>
      </c>
      <c r="AJ13" s="20">
        <f t="shared" si="8"/>
        <v>0.35564853556485354</v>
      </c>
      <c r="AK13" s="30">
        <v>10.968999999999999</v>
      </c>
      <c r="AL13" s="31">
        <f t="shared" si="10"/>
        <v>10.968999999999999</v>
      </c>
      <c r="AM13" s="25"/>
    </row>
    <row r="14" spans="1:43" s="28" customFormat="1" x14ac:dyDescent="0.25">
      <c r="A14" s="26">
        <v>43182</v>
      </c>
      <c r="B14" s="26">
        <v>43276</v>
      </c>
      <c r="C14" s="27">
        <f t="shared" si="0"/>
        <v>94</v>
      </c>
      <c r="D14" s="28" t="s">
        <v>133</v>
      </c>
      <c r="E14" s="28" t="s">
        <v>126</v>
      </c>
      <c r="F14" s="28" t="s">
        <v>111</v>
      </c>
      <c r="G14" s="29" t="s">
        <v>46</v>
      </c>
      <c r="H14" s="28">
        <v>52.4</v>
      </c>
      <c r="I14" s="28">
        <v>30.1</v>
      </c>
      <c r="J14" s="28" t="s">
        <v>119</v>
      </c>
      <c r="K14" s="28" t="s">
        <v>112</v>
      </c>
      <c r="L14" s="28">
        <v>168</v>
      </c>
      <c r="M14" s="28" t="s">
        <v>127</v>
      </c>
      <c r="N14" s="26">
        <v>43182</v>
      </c>
      <c r="O14" s="30" t="s">
        <v>44</v>
      </c>
      <c r="P14" s="31">
        <v>0.191</v>
      </c>
      <c r="Q14" s="31" t="s">
        <v>44</v>
      </c>
      <c r="R14" s="31">
        <v>0.26400000000000001</v>
      </c>
      <c r="S14" s="28" t="s">
        <v>44</v>
      </c>
      <c r="T14" s="28" t="s">
        <v>44</v>
      </c>
      <c r="U14" s="28" t="s">
        <v>133</v>
      </c>
      <c r="V14" s="20" t="s">
        <v>113</v>
      </c>
      <c r="W14" s="32">
        <v>107</v>
      </c>
      <c r="X14" s="28">
        <v>135</v>
      </c>
      <c r="Y14" s="20">
        <f t="shared" si="4"/>
        <v>242</v>
      </c>
      <c r="Z14" s="32">
        <v>80</v>
      </c>
      <c r="AA14" s="32">
        <v>87</v>
      </c>
      <c r="AB14" s="9">
        <f t="shared" si="5"/>
        <v>167</v>
      </c>
      <c r="AC14" s="32">
        <v>59</v>
      </c>
      <c r="AD14" s="32">
        <v>84</v>
      </c>
      <c r="AE14" s="9">
        <f t="shared" si="6"/>
        <v>143</v>
      </c>
      <c r="AF14" s="32">
        <v>17</v>
      </c>
      <c r="AG14" s="28">
        <v>45</v>
      </c>
      <c r="AH14">
        <f t="shared" si="7"/>
        <v>62</v>
      </c>
      <c r="AI14" s="28">
        <v>168</v>
      </c>
      <c r="AJ14" s="20">
        <f t="shared" si="8"/>
        <v>0.36904761904761907</v>
      </c>
      <c r="AK14" s="30">
        <v>11.189</v>
      </c>
      <c r="AL14" s="31">
        <f t="shared" si="10"/>
        <v>11.189</v>
      </c>
      <c r="AM14" s="25"/>
    </row>
    <row r="15" spans="1:43" x14ac:dyDescent="0.25">
      <c r="A15" s="15">
        <v>43152</v>
      </c>
      <c r="B15" s="15">
        <v>43153</v>
      </c>
      <c r="C15" s="22">
        <f t="shared" si="0"/>
        <v>1</v>
      </c>
      <c r="D15" s="20" t="s">
        <v>134</v>
      </c>
      <c r="E15" s="20" t="s">
        <v>42</v>
      </c>
      <c r="F15" s="20" t="s">
        <v>111</v>
      </c>
      <c r="G15" s="23">
        <v>47</v>
      </c>
      <c r="H15" s="20">
        <v>51.3</v>
      </c>
      <c r="I15" s="20">
        <v>28.6</v>
      </c>
      <c r="J15" s="20" t="s">
        <v>44</v>
      </c>
      <c r="K15" s="20" t="s">
        <v>112</v>
      </c>
      <c r="O15" s="24">
        <v>0.441</v>
      </c>
      <c r="P15" s="20">
        <v>0.92900000000000005</v>
      </c>
      <c r="Q15" s="20">
        <v>0.42899999999999999</v>
      </c>
      <c r="R15" s="20">
        <v>0.88300000000000001</v>
      </c>
      <c r="S15" s="20">
        <f t="shared" ref="S15:S20" si="11">SUM(P15,R15)</f>
        <v>1.8120000000000001</v>
      </c>
      <c r="T15" s="20">
        <f t="shared" ref="T15:T20" si="12">SUM(O15,Q15)</f>
        <v>0.87</v>
      </c>
      <c r="U15" s="20" t="s">
        <v>134</v>
      </c>
      <c r="V15" s="20" t="s">
        <v>113</v>
      </c>
      <c r="W15" s="9"/>
      <c r="Z15" s="9"/>
      <c r="AC15" s="9"/>
      <c r="AF15" s="9"/>
      <c r="AK15" s="24">
        <v>9.3219999999999992</v>
      </c>
      <c r="AL15" s="25">
        <f t="shared" si="10"/>
        <v>12.003999999999998</v>
      </c>
      <c r="AM15" s="25">
        <f t="shared" si="9"/>
        <v>0.15094968343885376</v>
      </c>
    </row>
    <row r="16" spans="1:43" x14ac:dyDescent="0.25">
      <c r="A16" s="15">
        <v>43152</v>
      </c>
      <c r="B16" s="15">
        <v>43153</v>
      </c>
      <c r="C16" s="22">
        <f t="shared" si="0"/>
        <v>1</v>
      </c>
      <c r="D16" s="20" t="s">
        <v>135</v>
      </c>
      <c r="E16" s="20" t="s">
        <v>42</v>
      </c>
      <c r="F16" s="20" t="s">
        <v>111</v>
      </c>
      <c r="G16" s="23">
        <v>54</v>
      </c>
      <c r="H16" s="20">
        <v>57.1</v>
      </c>
      <c r="I16" s="20">
        <v>32</v>
      </c>
      <c r="J16" s="20" t="s">
        <v>44</v>
      </c>
      <c r="K16" s="20" t="s">
        <v>112</v>
      </c>
      <c r="O16" s="24">
        <v>0.38800000000000001</v>
      </c>
      <c r="P16" s="20">
        <v>0.55300000000000005</v>
      </c>
      <c r="Q16" s="20">
        <v>0.434</v>
      </c>
      <c r="R16" s="20">
        <v>0.57199999999999995</v>
      </c>
      <c r="S16" s="20">
        <f t="shared" si="11"/>
        <v>1.125</v>
      </c>
      <c r="T16" s="20">
        <f t="shared" si="12"/>
        <v>0.82200000000000006</v>
      </c>
      <c r="U16" s="20" t="s">
        <v>135</v>
      </c>
      <c r="V16" s="20" t="s">
        <v>113</v>
      </c>
      <c r="W16" s="9"/>
      <c r="Z16" s="9"/>
      <c r="AC16" s="9"/>
      <c r="AF16" s="9"/>
      <c r="AK16" s="24">
        <v>16.201000000000001</v>
      </c>
      <c r="AL16" s="25">
        <f t="shared" si="10"/>
        <v>18.148</v>
      </c>
      <c r="AM16" s="25">
        <f t="shared" si="9"/>
        <v>6.1990301961648668E-2</v>
      </c>
    </row>
    <row r="17" spans="1:41" x14ac:dyDescent="0.25">
      <c r="A17" s="15">
        <v>43152</v>
      </c>
      <c r="B17" s="15">
        <v>43154</v>
      </c>
      <c r="C17" s="22">
        <f t="shared" si="0"/>
        <v>2</v>
      </c>
      <c r="D17" s="20" t="s">
        <v>136</v>
      </c>
      <c r="E17" s="20" t="s">
        <v>42</v>
      </c>
      <c r="F17" s="20" t="s">
        <v>111</v>
      </c>
      <c r="G17" s="23">
        <v>54</v>
      </c>
      <c r="H17" s="20">
        <v>55.6</v>
      </c>
      <c r="I17" s="20">
        <v>31.9</v>
      </c>
      <c r="J17" s="20" t="s">
        <v>44</v>
      </c>
      <c r="K17" s="20" t="s">
        <v>112</v>
      </c>
      <c r="O17" s="24">
        <v>0.36099999999999999</v>
      </c>
      <c r="P17" s="20">
        <v>0.51900000000000002</v>
      </c>
      <c r="Q17" s="20">
        <v>0.38900000000000001</v>
      </c>
      <c r="R17" s="20">
        <v>0.64200000000000002</v>
      </c>
      <c r="S17" s="20">
        <f t="shared" si="11"/>
        <v>1.161</v>
      </c>
      <c r="T17" s="20">
        <f t="shared" si="12"/>
        <v>0.75</v>
      </c>
      <c r="U17" s="20" t="s">
        <v>136</v>
      </c>
      <c r="V17" s="20" t="s">
        <v>113</v>
      </c>
      <c r="W17" s="9">
        <v>28</v>
      </c>
      <c r="X17" s="20">
        <v>20</v>
      </c>
      <c r="Y17" s="20">
        <f t="shared" si="4"/>
        <v>48</v>
      </c>
      <c r="Z17" s="9">
        <v>46</v>
      </c>
      <c r="AA17" s="9">
        <v>41</v>
      </c>
      <c r="AB17" s="9">
        <f t="shared" si="5"/>
        <v>87</v>
      </c>
      <c r="AC17" s="9">
        <v>5</v>
      </c>
      <c r="AD17" s="9">
        <v>10</v>
      </c>
      <c r="AE17" s="9">
        <f t="shared" si="6"/>
        <v>15</v>
      </c>
      <c r="AF17" s="9">
        <v>164</v>
      </c>
      <c r="AG17" s="20">
        <v>213</v>
      </c>
      <c r="AH17">
        <f t="shared" si="7"/>
        <v>377</v>
      </c>
      <c r="AK17" s="24">
        <v>14.183</v>
      </c>
      <c r="AL17" s="25">
        <f t="shared" si="10"/>
        <v>16.094000000000001</v>
      </c>
      <c r="AM17" s="25">
        <f t="shared" si="9"/>
        <v>7.2138685224307192E-2</v>
      </c>
    </row>
    <row r="18" spans="1:41" x14ac:dyDescent="0.25">
      <c r="A18" s="15">
        <v>43153</v>
      </c>
      <c r="B18" s="15">
        <v>43154</v>
      </c>
      <c r="C18" s="22">
        <f t="shared" si="0"/>
        <v>1</v>
      </c>
      <c r="D18" s="20" t="s">
        <v>137</v>
      </c>
      <c r="E18" s="20" t="s">
        <v>42</v>
      </c>
      <c r="F18" s="20" t="s">
        <v>111</v>
      </c>
      <c r="G18" s="23" t="s">
        <v>44</v>
      </c>
      <c r="H18" s="20">
        <v>51.4</v>
      </c>
      <c r="I18" s="20">
        <v>29.4</v>
      </c>
      <c r="J18" s="20" t="s">
        <v>44</v>
      </c>
      <c r="K18" s="20" t="s">
        <v>112</v>
      </c>
      <c r="O18" s="24">
        <v>0.42</v>
      </c>
      <c r="P18" s="20">
        <v>0.90500000000000003</v>
      </c>
      <c r="Q18" s="20">
        <v>0.47699999999999998</v>
      </c>
      <c r="R18" s="20">
        <v>1.03</v>
      </c>
      <c r="S18" s="20">
        <f t="shared" si="11"/>
        <v>1.9350000000000001</v>
      </c>
      <c r="T18" s="20">
        <f t="shared" si="12"/>
        <v>0.89700000000000002</v>
      </c>
      <c r="U18" s="20" t="s">
        <v>137</v>
      </c>
      <c r="V18" s="20" t="s">
        <v>113</v>
      </c>
      <c r="W18" s="9">
        <v>58</v>
      </c>
      <c r="X18" s="20">
        <v>116</v>
      </c>
      <c r="Y18" s="20">
        <f t="shared" si="4"/>
        <v>174</v>
      </c>
      <c r="Z18" s="9">
        <v>90</v>
      </c>
      <c r="AA18" s="9">
        <v>115</v>
      </c>
      <c r="AB18" s="9">
        <f t="shared" si="5"/>
        <v>205</v>
      </c>
      <c r="AC18" s="9">
        <v>18</v>
      </c>
      <c r="AD18" s="9">
        <v>64</v>
      </c>
      <c r="AE18" s="9">
        <f t="shared" si="6"/>
        <v>82</v>
      </c>
      <c r="AF18" s="9">
        <v>356</v>
      </c>
      <c r="AG18" s="20">
        <v>411</v>
      </c>
      <c r="AH18">
        <f t="shared" si="7"/>
        <v>767</v>
      </c>
      <c r="AK18" s="25">
        <v>9.9819999999999993</v>
      </c>
      <c r="AL18" s="25">
        <f t="shared" si="10"/>
        <v>12.814</v>
      </c>
      <c r="AM18" s="25">
        <f t="shared" si="9"/>
        <v>0.15100671140939598</v>
      </c>
    </row>
    <row r="19" spans="1:41" x14ac:dyDescent="0.25">
      <c r="A19" s="15">
        <v>43152</v>
      </c>
      <c r="B19" s="15">
        <v>43153</v>
      </c>
      <c r="C19" s="22">
        <f t="shared" si="0"/>
        <v>1</v>
      </c>
      <c r="D19" s="20" t="s">
        <v>138</v>
      </c>
      <c r="E19" s="20" t="s">
        <v>42</v>
      </c>
      <c r="F19" s="20" t="s">
        <v>111</v>
      </c>
      <c r="G19" s="23">
        <v>12</v>
      </c>
      <c r="H19" s="20">
        <v>53</v>
      </c>
      <c r="I19" s="20">
        <v>28.9</v>
      </c>
      <c r="J19" s="20" t="s">
        <v>44</v>
      </c>
      <c r="K19" s="20" t="s">
        <v>112</v>
      </c>
      <c r="M19" s="20" t="s">
        <v>139</v>
      </c>
      <c r="N19" s="15">
        <v>43153</v>
      </c>
      <c r="O19" s="24">
        <v>8.5000000000000006E-2</v>
      </c>
      <c r="P19" s="20">
        <v>0.12</v>
      </c>
      <c r="Q19" s="20">
        <v>7.0999999999999994E-2</v>
      </c>
      <c r="R19" s="20">
        <v>8.7999999999999995E-2</v>
      </c>
      <c r="S19" s="20">
        <f t="shared" si="11"/>
        <v>0.20799999999999999</v>
      </c>
      <c r="T19" s="20">
        <f t="shared" si="12"/>
        <v>0.156</v>
      </c>
      <c r="U19" s="20" t="s">
        <v>138</v>
      </c>
      <c r="V19" s="20" t="s">
        <v>113</v>
      </c>
      <c r="W19" s="9">
        <v>32</v>
      </c>
      <c r="X19" s="20">
        <v>39</v>
      </c>
      <c r="Y19" s="20">
        <f t="shared" si="4"/>
        <v>71</v>
      </c>
      <c r="Z19" s="9">
        <v>66</v>
      </c>
      <c r="AA19" s="9">
        <v>58</v>
      </c>
      <c r="AB19" s="9">
        <f t="shared" si="5"/>
        <v>124</v>
      </c>
      <c r="AC19" s="9">
        <v>13</v>
      </c>
      <c r="AD19" s="9">
        <v>32</v>
      </c>
      <c r="AE19" s="9">
        <f t="shared" si="6"/>
        <v>45</v>
      </c>
      <c r="AF19" s="9">
        <v>7</v>
      </c>
      <c r="AG19" s="20">
        <v>3</v>
      </c>
      <c r="AH19">
        <v>281</v>
      </c>
      <c r="AK19" s="24">
        <v>9.2859999999999996</v>
      </c>
      <c r="AL19" s="25">
        <f t="shared" si="10"/>
        <v>9.65</v>
      </c>
      <c r="AM19" s="25">
        <f t="shared" si="9"/>
        <v>2.155440414507772E-2</v>
      </c>
      <c r="AN19" s="20" t="s">
        <v>140</v>
      </c>
      <c r="AO19" s="15"/>
    </row>
    <row r="20" spans="1:41" x14ac:dyDescent="0.25">
      <c r="A20" s="15">
        <v>43157</v>
      </c>
      <c r="B20" s="15">
        <v>43161</v>
      </c>
      <c r="C20" s="22">
        <f t="shared" si="0"/>
        <v>4</v>
      </c>
      <c r="D20" s="20" t="s">
        <v>141</v>
      </c>
      <c r="E20" s="20" t="s">
        <v>42</v>
      </c>
      <c r="F20" s="20" t="s">
        <v>111</v>
      </c>
      <c r="G20" s="23" t="s">
        <v>46</v>
      </c>
      <c r="H20" s="20">
        <v>49.2</v>
      </c>
      <c r="I20" s="20">
        <v>28.7</v>
      </c>
      <c r="J20" s="20" t="s">
        <v>142</v>
      </c>
      <c r="K20" s="20" t="s">
        <v>112</v>
      </c>
      <c r="O20" s="24">
        <v>0.39800000000000002</v>
      </c>
      <c r="P20" s="20">
        <v>0.86</v>
      </c>
      <c r="Q20" s="20">
        <v>0.44900000000000001</v>
      </c>
      <c r="R20" s="20">
        <v>0.82899999999999996</v>
      </c>
      <c r="S20" s="20">
        <f t="shared" si="11"/>
        <v>1.6890000000000001</v>
      </c>
      <c r="T20" s="20">
        <f t="shared" si="12"/>
        <v>0.84699999999999998</v>
      </c>
      <c r="U20" s="20" t="s">
        <v>141</v>
      </c>
      <c r="V20" s="20" t="s">
        <v>113</v>
      </c>
      <c r="W20" s="9">
        <v>38</v>
      </c>
      <c r="X20" s="20">
        <v>41</v>
      </c>
      <c r="Y20" s="20">
        <f t="shared" si="4"/>
        <v>79</v>
      </c>
      <c r="Z20" s="9">
        <v>54</v>
      </c>
      <c r="AA20" s="9">
        <v>60</v>
      </c>
      <c r="AB20" s="9">
        <f t="shared" si="5"/>
        <v>114</v>
      </c>
      <c r="AC20" s="9">
        <v>18</v>
      </c>
      <c r="AD20" s="9">
        <v>14</v>
      </c>
      <c r="AE20" s="9">
        <f t="shared" si="6"/>
        <v>32</v>
      </c>
      <c r="AF20" s="9">
        <v>367</v>
      </c>
      <c r="AG20" s="20">
        <v>353</v>
      </c>
      <c r="AH20">
        <f t="shared" si="7"/>
        <v>720</v>
      </c>
      <c r="AK20" s="24">
        <v>10.055</v>
      </c>
      <c r="AL20" s="25">
        <f t="shared" si="10"/>
        <v>12.590999999999999</v>
      </c>
      <c r="AM20" s="25">
        <f t="shared" si="9"/>
        <v>0.13414343578746726</v>
      </c>
      <c r="AN20" s="25" t="s">
        <v>143</v>
      </c>
    </row>
    <row r="40" spans="34:34" x14ac:dyDescent="0.25">
      <c r="AH40" s="20"/>
    </row>
    <row r="42" spans="34:34" x14ac:dyDescent="0.25">
      <c r="AH42" s="20"/>
    </row>
    <row r="44" spans="34:34" x14ac:dyDescent="0.25">
      <c r="AH44" s="20"/>
    </row>
    <row r="48" spans="34:34" x14ac:dyDescent="0.25">
      <c r="AH48" s="20"/>
    </row>
    <row r="50" spans="34:34" x14ac:dyDescent="0.25">
      <c r="AH50" s="20"/>
    </row>
    <row r="52" spans="34:34" x14ac:dyDescent="0.25">
      <c r="AH52" s="20"/>
    </row>
    <row r="54" spans="34:34" x14ac:dyDescent="0.25">
      <c r="AH54" s="20"/>
    </row>
    <row r="56" spans="34:34" x14ac:dyDescent="0.25">
      <c r="AH56" s="20"/>
    </row>
    <row r="58" spans="34:34" x14ac:dyDescent="0.25">
      <c r="AH58" s="20"/>
    </row>
    <row r="60" spans="34:34" x14ac:dyDescent="0.25">
      <c r="AH60" s="20"/>
    </row>
    <row r="62" spans="34:34" x14ac:dyDescent="0.25">
      <c r="AH62" s="20"/>
    </row>
    <row r="64" spans="34:34" x14ac:dyDescent="0.25">
      <c r="AH6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Sperm analysis</vt:lpstr>
      <vt:lpstr>Egg analysis</vt:lpstr>
    </vt:vector>
  </TitlesOfParts>
  <Company>The University of Newcastle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Gould</dc:creator>
  <cp:lastModifiedBy>John Gould</cp:lastModifiedBy>
  <dcterms:created xsi:type="dcterms:W3CDTF">2022-01-03T07:40:34Z</dcterms:created>
  <dcterms:modified xsi:type="dcterms:W3CDTF">2022-01-03T07:43:13Z</dcterms:modified>
</cp:coreProperties>
</file>